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r/Code/LLMs/MyGPT2/"/>
    </mc:Choice>
  </mc:AlternateContent>
  <xr:revisionPtr revIDLastSave="0" documentId="13_ncr:1_{388D3883-4B2E-C547-B22F-1D5A8BB68762}" xr6:coauthVersionLast="47" xr6:coauthVersionMax="47" xr10:uidLastSave="{00000000-0000-0000-0000-000000000000}"/>
  <bookViews>
    <workbookView xWindow="0" yWindow="800" windowWidth="41120" windowHeight="24680" activeTab="3" xr2:uid="{EE74674C-597E-C44B-9B9E-1DD01B1E9CF3}"/>
  </bookViews>
  <sheets>
    <sheet name="PreTrain" sheetId="1" r:id="rId1"/>
    <sheet name="FineTune" sheetId="2" r:id="rId2"/>
    <sheet name="V2 Pretrain" sheetId="3" r:id="rId3"/>
    <sheet name="V2 Pretrain-Bigger Model" sheetId="4" r:id="rId4"/>
  </sheets>
  <definedNames>
    <definedName name="_xlchart.v1.0" hidden="1">PreTrain!$E$1</definedName>
    <definedName name="_xlchart.v1.1" hidden="1">PreTrain!$E$2:$E$62</definedName>
    <definedName name="_xlchart.v1.10" hidden="1">FineTune!$G$1</definedName>
    <definedName name="_xlchart.v1.11" hidden="1">FineTune!$G$2:$G$12</definedName>
    <definedName name="_xlchart.v1.2" hidden="1">PreTrain!$E$1</definedName>
    <definedName name="_xlchart.v1.3" hidden="1">PreTrain!$E$2:$E$62</definedName>
    <definedName name="_xlchart.v1.4" hidden="1">PreTrain!$D$1</definedName>
    <definedName name="_xlchart.v1.5" hidden="1">PreTrain!$D$2:$D$62</definedName>
    <definedName name="_xlchart.v1.6" hidden="1">FineTune!$C$2:$C$12</definedName>
    <definedName name="_xlchart.v1.7" hidden="1">FineTune!$G$1</definedName>
    <definedName name="_xlchart.v1.8" hidden="1">FineTune!$G$2:$G$12</definedName>
    <definedName name="_xlchart.v1.9" hidden="1">FineTune!$C$2:$C$12</definedName>
    <definedName name="_xlnm.Print_Titles" localSheetId="1">FineTune!$Q:$R,FineTune!$1:$2</definedName>
  </definedNames>
  <calcPr calcId="18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2" i="2"/>
  <c r="C3" i="2"/>
  <c r="C4" i="2"/>
  <c r="C5" i="2"/>
  <c r="C6" i="2"/>
  <c r="C7" i="2"/>
  <c r="C8" i="2"/>
  <c r="C9" i="2"/>
  <c r="C10" i="2"/>
  <c r="C11" i="2"/>
  <c r="C12" i="2"/>
  <c r="C2" i="2"/>
  <c r="O2" i="1"/>
</calcChain>
</file>

<file path=xl/sharedStrings.xml><?xml version="1.0" encoding="utf-8"?>
<sst xmlns="http://schemas.openxmlformats.org/spreadsheetml/2006/main" count="173" uniqueCount="83">
  <si>
    <t>#</t>
  </si>
  <si>
    <t>Book ID</t>
  </si>
  <si>
    <t>Chars</t>
  </si>
  <si>
    <t>Epochs</t>
  </si>
  <si>
    <t>Time</t>
  </si>
  <si>
    <t>s/ep</t>
  </si>
  <si>
    <t>Val Loss</t>
  </si>
  <si>
    <t>Val PPL</t>
  </si>
  <si>
    <t>Train Loss</t>
  </si>
  <si>
    <t>a_course_of_pure_mathematics</t>
  </si>
  <si>
    <t>a_first_book_in_algebra</t>
  </si>
  <si>
    <t>amusements_in_mathematics</t>
  </si>
  <si>
    <t>an_elementary_course_in_synthetic_projective_geometry</t>
  </si>
  <si>
    <t>an_essay_on_the_foundations_of_geometry</t>
  </si>
  <si>
    <t>an_introduction_to_mathematics</t>
  </si>
  <si>
    <t>an_introduction_to_nonassociative_algebras</t>
  </si>
  <si>
    <t>an_investigation_of_the_laws_of_thought</t>
  </si>
  <si>
    <t>calculus_made_easy</t>
  </si>
  <si>
    <t>elementary_illustrations_of_the_differential_and_integral_calculus</t>
  </si>
  <si>
    <t>elementary_principles_of_statistical_mechanics</t>
  </si>
  <si>
    <t>elements_of_plane_trigonometry</t>
  </si>
  <si>
    <t>essays_on_the_theory_of_numbers</t>
  </si>
  <si>
    <t>first_course_in_the_theory_of_equations</t>
  </si>
  <si>
    <t>geometrical_solutions_derived_from_mechanics</t>
  </si>
  <si>
    <t>introduction_to_infinitesimal_analysis</t>
  </si>
  <si>
    <t>lectures_on_elementary_mathematics</t>
  </si>
  <si>
    <t>mathematical_recreations_and_essays</t>
  </si>
  <si>
    <t>on_the_study_and_difficulties_of_mathematics</t>
  </si>
  <si>
    <t>openstax_algebra_and_trigonometry_2e</t>
  </si>
  <si>
    <t>openstax_calculus_volume_1</t>
  </si>
  <si>
    <t>plane_geometry</t>
  </si>
  <si>
    <t>science_and_hypothesis</t>
  </si>
  <si>
    <t>solid_geometry_with_problems_and_applications</t>
  </si>
  <si>
    <t>some_famous_problems_of_the_theory_of_numbers</t>
  </si>
  <si>
    <t>spherical_trigonometry</t>
  </si>
  <si>
    <t>symbolic_logic</t>
  </si>
  <si>
    <t>the_algebra_of_logic</t>
  </si>
  <si>
    <t>the_elements_of_non-euclidean_geometry</t>
  </si>
  <si>
    <t>the_evanston_colloquium_lectures_on_mathematics</t>
  </si>
  <si>
    <t>the_first_six_books_of_the_elements_of_euclid</t>
  </si>
  <si>
    <t>the_first_steps_in_algebra</t>
  </si>
  <si>
    <t>the_foundations_of_geometry</t>
  </si>
  <si>
    <t>the_game_of_logic</t>
  </si>
  <si>
    <t>the_integration_of_functions_of_a_single_variable</t>
  </si>
  <si>
    <t>the_logic_of_chance</t>
  </si>
  <si>
    <t>the_mathematical_analysis_of_logic</t>
  </si>
  <si>
    <t>the_number-system_of_algebra</t>
  </si>
  <si>
    <t>the_theory_of_numbers</t>
  </si>
  <si>
    <t>utility_of_quaternions_in_physics</t>
  </si>
  <si>
    <t>vector_analysis_and_quaternions</t>
  </si>
  <si>
    <t>Sum of Time</t>
  </si>
  <si>
    <t>arxiv_1010_4298v7</t>
  </si>
  <si>
    <t>arxiv_1308_5049v1</t>
  </si>
  <si>
    <t>arxiv_1406_0230v2</t>
  </si>
  <si>
    <t>arxiv_1607_06196v2</t>
  </si>
  <si>
    <t>arxiv_1611_08806v3</t>
  </si>
  <si>
    <t>arxiv_1805_05626v1</t>
  </si>
  <si>
    <t>arxiv_1806_00596v1</t>
  </si>
  <si>
    <t>arxiv_1806_09142v2</t>
  </si>
  <si>
    <t>arxiv_1807_03506v1</t>
  </si>
  <si>
    <t>arxiv_1809_01409v2</t>
  </si>
  <si>
    <t>arxiv_1902_03269v2</t>
  </si>
  <si>
    <t>arxiv_1909_07045v1</t>
  </si>
  <si>
    <t>arxiv_2008_11513v1</t>
  </si>
  <si>
    <t>arxiv_2012_09280v1</t>
  </si>
  <si>
    <t>arxiv_2110_14321v1</t>
  </si>
  <si>
    <t>arxiv_2507_15908v2</t>
  </si>
  <si>
    <t>arxiv_math_9812143v1</t>
  </si>
  <si>
    <t>four_lectures_on_mathematics</t>
  </si>
  <si>
    <t>arxiv_1805_06560v1</t>
  </si>
  <si>
    <t>arxiv_2011_05848v1</t>
  </si>
  <si>
    <t>Size in KB</t>
  </si>
  <si>
    <t>QA Pairs</t>
  </si>
  <si>
    <t>FT Val</t>
  </si>
  <si>
    <t>FT PPL</t>
  </si>
  <si>
    <t>PT Val</t>
  </si>
  <si>
    <t>Δ Loss</t>
  </si>
  <si>
    <t>Size In KB</t>
  </si>
  <si>
    <t xml:space="preserve"> #</t>
  </si>
  <si>
    <t>Book</t>
  </si>
  <si>
    <t>Size KB</t>
  </si>
  <si>
    <t xml:space="preserve">Time </t>
  </si>
  <si>
    <t>elementary_illustrations_of_differential_and_integral_calculus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</si>
</sst>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0" borderId="0" xfId="0" applyFont="1" applyAlignment="1">
      <alignment horizontal="right"/>
    </xf>
    <xf numFmtId="2" fontId="0" fillId="0" borderId="0" xfId="0" applyNumberFormat="1"/>
    <xf numFmtId="0" fontId="1" fillId="0" borderId="1" xfId="0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FineTune!$Q$1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FineTune!$P$2:$P$12</c:f>
              <c:numCache>
                <c:formatCode>0.00</c:formatCode>
                <c:ptCount val="11"/>
                <c:pt idx="0">
                  <c:v>176</c:v>
                </c:pt>
                <c:pt idx="1">
                  <c:v>192</c:v>
                </c:pt>
                <c:pt idx="2">
                  <c:v>230</c:v>
                </c:pt>
                <c:pt idx="3">
                  <c:v>256</c:v>
                </c:pt>
                <c:pt idx="4">
                  <c:v>300</c:v>
                </c:pt>
                <c:pt idx="5">
                  <c:v>304</c:v>
                </c:pt>
                <c:pt idx="6">
                  <c:v>488</c:v>
                </c:pt>
                <c:pt idx="7">
                  <c:v>539</c:v>
                </c:pt>
                <c:pt idx="8">
                  <c:v>875</c:v>
                </c:pt>
                <c:pt idx="9">
                  <c:v>888</c:v>
                </c:pt>
                <c:pt idx="10">
                  <c:v>1821</c:v>
                </c:pt>
              </c:numCache>
            </c:numRef>
          </c:xVal>
          <c:yVal>
            <c:numRef>
              <c:f>FineTune!$Q$2:$Q$12</c:f>
              <c:numCache>
                <c:formatCode>General</c:formatCode>
                <c:ptCount val="11"/>
                <c:pt idx="0">
                  <c:v>9.1999999999999993</c:v>
                </c:pt>
                <c:pt idx="1">
                  <c:v>12.5</c:v>
                </c:pt>
                <c:pt idx="2">
                  <c:v>9.9</c:v>
                </c:pt>
                <c:pt idx="3">
                  <c:v>12.6</c:v>
                </c:pt>
                <c:pt idx="4">
                  <c:v>15.1</c:v>
                </c:pt>
                <c:pt idx="5">
                  <c:v>14.4</c:v>
                </c:pt>
                <c:pt idx="6">
                  <c:v>14.6</c:v>
                </c:pt>
                <c:pt idx="7">
                  <c:v>14.8</c:v>
                </c:pt>
                <c:pt idx="8">
                  <c:v>14.5</c:v>
                </c:pt>
                <c:pt idx="9">
                  <c:v>14.6</c:v>
                </c:pt>
                <c:pt idx="1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C7-5948-8338-04B778AAE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292223"/>
        <c:axId val="1753290431"/>
      </c:scatterChart>
      <c:valAx>
        <c:axId val="175329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90431"/>
        <c:crosses val="autoZero"/>
        <c:crossBetween val="midCat"/>
      </c:valAx>
      <c:valAx>
        <c:axId val="175329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9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6982B754-3CA5-6645-AD75-6E1489049DC7}">
          <cx:tx>
            <cx:txData>
              <cx:f>_xlchart.v1.4</cx:f>
              <cx:v>Chars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17AFB4B-19D5-E34A-8C8F-3A2D1C89EE15}">
          <cx:tx>
            <cx:txData>
              <cx:f>_xlchart.v1.0</cx:f>
              <cx:v>Epochs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AAE25B41-4DF7-114B-8AAE-C178F0755886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224692</xdr:colOff>
      <xdr:row>6</xdr:row>
      <xdr:rowOff>196362</xdr:rowOff>
    </xdr:from>
    <xdr:to>
      <xdr:col>18</xdr:col>
      <xdr:colOff>488461</xdr:colOff>
      <xdr:row>20</xdr:row>
      <xdr:rowOff>67408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3E7FDEF-5784-B11F-8194-94581653CF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5615" y="1427285"/>
              <a:ext cx="693615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253999</xdr:colOff>
      <xdr:row>20</xdr:row>
      <xdr:rowOff>157284</xdr:rowOff>
    </xdr:from>
    <xdr:to>
      <xdr:col>18</xdr:col>
      <xdr:colOff>459153</xdr:colOff>
      <xdr:row>34</xdr:row>
      <xdr:rowOff>28330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874346F-5805-7222-3D5D-9E62ED4A33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74922" y="4260361"/>
              <a:ext cx="687753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23</xdr:row>
      <xdr:rowOff>82550</xdr:rowOff>
    </xdr:from>
    <xdr:to>
      <xdr:col>16</xdr:col>
      <xdr:colOff>63500</xdr:colOff>
      <xdr:row>51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459761-9D7A-E8D9-4AB4-8C7D436D4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tsal Raicha" refreshedDate="46075.727771180558" createdVersion="8" refreshedVersion="8" minRefreshableVersion="3" recordCount="61" xr:uid="{3A8EFBA9-4590-E942-A20F-72D85DEA30D7}">
  <cacheSource type="worksheet">
    <worksheetSource ref="A1:J62" sheet="PreTrain"/>
  </cacheSource>
  <cacheFields count="10">
    <cacheField name="#" numFmtId="0">
      <sharedItems containsSemiMixedTypes="0" containsString="0" containsNumber="1" containsInteger="1" minValue="1" maxValue="61"/>
    </cacheField>
    <cacheField name="Book ID" numFmtId="0">
      <sharedItems/>
    </cacheField>
    <cacheField name="Size" numFmtId="0">
      <sharedItems/>
    </cacheField>
    <cacheField name="Chars" numFmtId="0">
      <sharedItems containsSemiMixedTypes="0" containsString="0" containsNumber="1" containsInteger="1" minValue="8287" maxValue="1854300"/>
    </cacheField>
    <cacheField name="Epochs" numFmtId="0">
      <sharedItems containsSemiMixedTypes="0" containsString="0" containsNumber="1" containsInteger="1" minValue="40" maxValue="200"/>
    </cacheField>
    <cacheField name="Time" numFmtId="0">
      <sharedItems containsSemiMixedTypes="0" containsString="0" containsNumber="1" minValue="0.4" maxValue="10.1"/>
    </cacheField>
    <cacheField name="s/ep" numFmtId="0">
      <sharedItems containsSemiMixedTypes="0" containsString="0" containsNumber="1" minValue="0.1" maxValue="12.6"/>
    </cacheField>
    <cacheField name="Val Loss" numFmtId="0">
      <sharedItems containsSemiMixedTypes="0" containsString="0" containsNumber="1" minValue="0.3523" maxValue="7.4866000000000001"/>
    </cacheField>
    <cacheField name="Val PPL" numFmtId="0">
      <sharedItems containsSemiMixedTypes="0" containsString="0" containsNumber="1" minValue="1.4" maxValue="1784"/>
    </cacheField>
    <cacheField name="Train Loss" numFmtId="0">
      <sharedItems containsSemiMixedTypes="0" containsString="0" containsNumber="1" minValue="0.34539999999999998" maxValue="6.0376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1"/>
    <s v="a_course_of_pure_mathematics"/>
    <s v="875KB"/>
    <n v="895837"/>
    <n v="68"/>
    <n v="10.1"/>
    <n v="8.9"/>
    <n v="4.8998999999999997"/>
    <n v="134.30000000000001"/>
    <n v="3.9426999999999999"/>
  </r>
  <r>
    <n v="2"/>
    <s v="a_first_book_in_algebra"/>
    <s v="176KB"/>
    <n v="179877"/>
    <n v="111"/>
    <n v="4.0999999999999996"/>
    <n v="2.2000000000000002"/>
    <n v="3.5579999999999998"/>
    <n v="35.1"/>
    <n v="3.855"/>
  </r>
  <r>
    <n v="3"/>
    <s v="amusements_in_mathematics"/>
    <s v="888KB"/>
    <n v="908238"/>
    <n v="54"/>
    <n v="6.6"/>
    <n v="7.3"/>
    <n v="5.7765000000000004"/>
    <n v="322.60000000000002"/>
    <n v="5.3106999999999998"/>
  </r>
  <r>
    <n v="4"/>
    <s v="an_elementary_course_in_synthetic_projective_geometry"/>
    <s v="192KB"/>
    <n v="194672"/>
    <n v="85"/>
    <n v="1.4"/>
    <n v="1"/>
    <n v="6.3144999999999998"/>
    <n v="552.6"/>
    <n v="5.0747"/>
  </r>
  <r>
    <n v="5"/>
    <s v="an_essay_on_the_foundations_of_geometry"/>
    <s v="472KB"/>
    <n v="483107"/>
    <n v="85"/>
    <n v="4.4000000000000004"/>
    <n v="3.1"/>
    <n v="5.9881000000000002"/>
    <n v="398.7"/>
    <n v="5.3052000000000001"/>
  </r>
  <r>
    <n v="6"/>
    <s v="an_introduction_to_mathematics"/>
    <s v="304KB"/>
    <n v="310852"/>
    <n v="60"/>
    <n v="2.1"/>
    <n v="2.1"/>
    <n v="7.4866000000000001"/>
    <n v="1784"/>
    <n v="6.0376000000000003"/>
  </r>
  <r>
    <n v="7"/>
    <s v="an_introduction_to_nonassociative_algebras"/>
    <s v="18KB"/>
    <n v="18282"/>
    <n v="200"/>
    <n v="0.5"/>
    <n v="0.1"/>
    <n v="0.76439999999999997"/>
    <n v="2.1"/>
    <n v="0.76619999999999999"/>
  </r>
  <r>
    <n v="8"/>
    <s v="an_investigation_of_the_laws_of_thought"/>
    <s v="770KB"/>
    <n v="788957"/>
    <n v="73"/>
    <n v="7.4"/>
    <n v="6.1"/>
    <n v="6.1668000000000003"/>
    <n v="476.7"/>
    <n v="4.5858999999999996"/>
  </r>
  <r>
    <n v="9"/>
    <s v="arxiv_1010_4298v7"/>
    <s v="37KB"/>
    <n v="35391"/>
    <n v="102"/>
    <n v="1"/>
    <n v="0.6"/>
    <n v="6.3681000000000001"/>
    <n v="583"/>
    <n v="2.8719999999999999"/>
  </r>
  <r>
    <n v="10"/>
    <s v="arxiv_1308_5049v1"/>
    <s v="53KB"/>
    <n v="52571"/>
    <n v="80"/>
    <n v="0.7"/>
    <n v="0.6"/>
    <n v="6.9954999999999998"/>
    <n v="1091.7"/>
    <n v="4.1756000000000002"/>
  </r>
  <r>
    <n v="11"/>
    <s v="arxiv_1406_0230v2"/>
    <s v="65KB"/>
    <n v="66327"/>
    <n v="59"/>
    <n v="0.6"/>
    <n v="0.6"/>
    <n v="7.3513000000000002"/>
    <n v="1558.2"/>
    <n v="4.726"/>
  </r>
  <r>
    <n v="12"/>
    <s v="arxiv_1607_06196v2"/>
    <s v="36KB"/>
    <n v="37074"/>
    <n v="104"/>
    <n v="0.8"/>
    <n v="0.4"/>
    <n v="5.8893000000000004"/>
    <n v="361.2"/>
    <n v="3.3357999999999999"/>
  </r>
  <r>
    <n v="13"/>
    <s v="arxiv_1611_08806v3"/>
    <s v="69KB"/>
    <n v="68640"/>
    <n v="84"/>
    <n v="0.8"/>
    <n v="0.6"/>
    <n v="6.5442999999999998"/>
    <n v="695.3"/>
    <n v="4.8730000000000002"/>
  </r>
  <r>
    <n v="14"/>
    <s v="arxiv_1805_05626v1"/>
    <s v="28KB"/>
    <n v="29097"/>
    <n v="94"/>
    <n v="0.6"/>
    <n v="0.4"/>
    <n v="4.5650000000000004"/>
    <n v="96.1"/>
    <n v="2.758"/>
  </r>
  <r>
    <n v="15"/>
    <s v="arxiv_1805_06560v1"/>
    <s v="35KB"/>
    <n v="34357"/>
    <n v="70"/>
    <n v="0.5"/>
    <n v="0.4"/>
    <n v="7.0571000000000002"/>
    <n v="1161"/>
    <n v="3.8089"/>
  </r>
  <r>
    <n v="16"/>
    <s v="arxiv_1806_00596v1"/>
    <s v="145KB"/>
    <n v="141648"/>
    <n v="97"/>
    <n v="2.5"/>
    <n v="1.6"/>
    <n v="5.6771000000000003"/>
    <n v="292.10000000000002"/>
    <n v="4.7257999999999996"/>
  </r>
  <r>
    <n v="17"/>
    <s v="arxiv_1806_09142v2"/>
    <s v="28KB"/>
    <n v="26555"/>
    <n v="74"/>
    <n v="0.4"/>
    <n v="0.4"/>
    <n v="5.77"/>
    <n v="320.5"/>
    <n v="3.2162000000000002"/>
  </r>
  <r>
    <n v="18"/>
    <s v="arxiv_1807_03506v1"/>
    <s v="34KB"/>
    <n v="32997"/>
    <n v="74"/>
    <n v="0.6"/>
    <n v="0.5"/>
    <n v="6.2739000000000003"/>
    <n v="530.6"/>
    <n v="4.4856999999999996"/>
  </r>
  <r>
    <n v="19"/>
    <s v="arxiv_1809_01409v2"/>
    <s v="11KB"/>
    <n v="11213"/>
    <n v="200"/>
    <n v="0.5"/>
    <n v="0.2"/>
    <n v="0.3911"/>
    <n v="1.5"/>
    <n v="0.3856"/>
  </r>
  <r>
    <n v="20"/>
    <s v="arxiv_1902_03269v2"/>
    <s v="23KB"/>
    <n v="23832"/>
    <n v="200"/>
    <n v="0.8"/>
    <n v="0.2"/>
    <n v="1.2114"/>
    <n v="3.4"/>
    <n v="1.2089000000000001"/>
  </r>
  <r>
    <n v="21"/>
    <s v="arxiv_1909_07045v1"/>
    <s v="8KB"/>
    <n v="8287"/>
    <n v="200"/>
    <n v="0.5"/>
    <n v="0.2"/>
    <n v="0.3523"/>
    <n v="1.4"/>
    <n v="0.34539999999999998"/>
  </r>
  <r>
    <n v="22"/>
    <s v="arxiv_2008_11513v1"/>
    <s v="59KB"/>
    <n v="59348"/>
    <n v="65"/>
    <n v="0.6"/>
    <n v="0.5"/>
    <n v="7.3996000000000004"/>
    <n v="1635.3"/>
    <n v="5.0298999999999996"/>
  </r>
  <r>
    <n v="23"/>
    <s v="arxiv_2011_05848v1"/>
    <s v="32KB"/>
    <n v="31612"/>
    <n v="68"/>
    <n v="0.6"/>
    <n v="0.5"/>
    <n v="6.7481"/>
    <n v="852.4"/>
    <n v="3.7429999999999999"/>
  </r>
  <r>
    <n v="24"/>
    <s v="arxiv_2012_09280v1"/>
    <s v="57KB"/>
    <n v="58010"/>
    <n v="84"/>
    <n v="0.8"/>
    <n v="0.6"/>
    <n v="5.1909999999999998"/>
    <n v="179.6"/>
    <n v="3.9342000000000001"/>
  </r>
  <r>
    <n v="25"/>
    <s v="arxiv_2110_14321v1"/>
    <s v="16KB"/>
    <n v="16224"/>
    <n v="200"/>
    <n v="0.6"/>
    <n v="0.2"/>
    <n v="0.66120000000000001"/>
    <n v="1.9"/>
    <n v="0.6603"/>
  </r>
  <r>
    <n v="26"/>
    <s v="arxiv_2507_15908v2"/>
    <s v="12KB"/>
    <n v="12713"/>
    <n v="200"/>
    <n v="0.9"/>
    <n v="0.3"/>
    <n v="0.89700000000000002"/>
    <n v="2.5"/>
    <n v="0.89700000000000002"/>
  </r>
  <r>
    <n v="27"/>
    <s v="arxiv_math_9812143v1"/>
    <s v="13KB"/>
    <n v="13266"/>
    <n v="200"/>
    <n v="0.6"/>
    <n v="0.2"/>
    <n v="0.65939999999999999"/>
    <n v="1.9"/>
    <n v="0.6623"/>
  </r>
  <r>
    <n v="28"/>
    <s v="calculus_made_easy"/>
    <s v="256KB"/>
    <n v="261740"/>
    <n v="63"/>
    <n v="2.9"/>
    <n v="2.7"/>
    <n v="5.0136000000000003"/>
    <n v="150.4"/>
    <n v="4.9241999999999999"/>
  </r>
  <r>
    <n v="29"/>
    <s v="elementary_illustrations_of_the_differential_and_integral_calculus"/>
    <s v="240KB"/>
    <n v="245888"/>
    <n v="82"/>
    <n v="3"/>
    <n v="2.2000000000000002"/>
    <n v="7.1394000000000002"/>
    <n v="1260.7"/>
    <n v="5.1893000000000002"/>
  </r>
  <r>
    <n v="30"/>
    <s v="elementary_principles_of_statistical_mechanics"/>
    <s v="342KB"/>
    <n v="350319"/>
    <n v="88"/>
    <n v="3.6"/>
    <n v="2.4"/>
    <n v="5.2736999999999998"/>
    <n v="195.1"/>
    <n v="4.3124000000000002"/>
  </r>
  <r>
    <n v="31"/>
    <s v="elements_of_plane_trigonometry"/>
    <s v="171KB"/>
    <n v="175391"/>
    <n v="106"/>
    <n v="1.8"/>
    <n v="1"/>
    <n v="6.3240999999999996"/>
    <n v="557.9"/>
    <n v="5.2516999999999996"/>
  </r>
  <r>
    <n v="32"/>
    <s v="essays_on_the_theory_of_numbers"/>
    <s v="166KB"/>
    <n v="169523"/>
    <n v="61"/>
    <n v="1.1000000000000001"/>
    <n v="1.1000000000000001"/>
    <n v="7.1071"/>
    <n v="1220.5999999999999"/>
    <n v="5.2050999999999998"/>
  </r>
  <r>
    <n v="33"/>
    <s v="first_course_in_the_theory_of_equations"/>
    <s v="320KB"/>
    <n v="326972"/>
    <n v="77"/>
    <n v="4.5999999999999996"/>
    <n v="3.6"/>
    <n v="4.5603999999999996"/>
    <n v="95.6"/>
    <n v="4.0757000000000003"/>
  </r>
  <r>
    <n v="34"/>
    <s v="four_lectures_on_mathematics"/>
    <s v="101KB"/>
    <n v="103411"/>
    <n v="104"/>
    <n v="1"/>
    <n v="0.6"/>
    <n v="6.2588999999999997"/>
    <n v="522.6"/>
    <n v="5.0579999999999998"/>
  </r>
  <r>
    <n v="35"/>
    <s v="geometrical_solutions_derived_from_mechanics"/>
    <s v="71KB"/>
    <n v="72681"/>
    <n v="101"/>
    <n v="1.2"/>
    <n v="0.7"/>
    <n v="4.6428000000000003"/>
    <n v="103.8"/>
    <n v="3.6122999999999998"/>
  </r>
  <r>
    <n v="36"/>
    <s v="introduction_to_infinitesimal_analysis"/>
    <s v="335KB"/>
    <n v="342845"/>
    <n v="117"/>
    <n v="7"/>
    <n v="3.6"/>
    <n v="4.5560999999999998"/>
    <n v="95.2"/>
    <n v="3.3807"/>
  </r>
  <r>
    <n v="37"/>
    <s v="lectures_on_elementary_mathematics"/>
    <s v="236KB"/>
    <n v="241092"/>
    <n v="89"/>
    <n v="2.4"/>
    <n v="1.6"/>
    <n v="7.0907999999999998"/>
    <n v="1200.8"/>
    <n v="5.3273000000000001"/>
  </r>
  <r>
    <n v="38"/>
    <s v="mathematical_recreations_and_essays"/>
    <s v="816KB"/>
    <n v="835629"/>
    <n v="49"/>
    <n v="5.5"/>
    <n v="6.7"/>
    <n v="6.6707000000000001"/>
    <n v="789"/>
    <n v="5.3902000000000001"/>
  </r>
  <r>
    <n v="39"/>
    <s v="on_the_study_and_difficulties_of_mathematics"/>
    <s v="400KB"/>
    <n v="409502"/>
    <n v="57"/>
    <n v="3"/>
    <n v="3.1"/>
    <n v="6.5355999999999996"/>
    <n v="689.2"/>
    <n v="5.2972999999999999"/>
  </r>
  <r>
    <n v="40"/>
    <s v="openstax_algebra_and_trigonometry_2e"/>
    <s v="1821KB"/>
    <n v="1854300"/>
    <n v="45"/>
    <n v="9.4"/>
    <n v="12.6"/>
    <n v="6.1361999999999997"/>
    <n v="462.3"/>
    <n v="4.9547999999999996"/>
  </r>
  <r>
    <n v="41"/>
    <s v="openstax_calculus_volume_1"/>
    <s v="1129KB"/>
    <n v="1112062"/>
    <n v="45"/>
    <n v="8.1999999999999993"/>
    <n v="11"/>
    <n v="5.3776000000000002"/>
    <n v="216.5"/>
    <n v="4.8707000000000003"/>
  </r>
  <r>
    <n v="42"/>
    <s v="plane_geometry"/>
    <s v="300KB"/>
    <n v="306401"/>
    <n v="84"/>
    <n v="3.8"/>
    <n v="2.7"/>
    <n v="5.2450000000000001"/>
    <n v="189.6"/>
    <n v="4.0997000000000003"/>
  </r>
  <r>
    <n v="43"/>
    <s v="science_and_hypothesis"/>
    <s v="359KB"/>
    <n v="367815"/>
    <n v="80"/>
    <n v="3.2"/>
    <n v="2.4"/>
    <n v="6.4029999999999996"/>
    <n v="603.6"/>
    <n v="5.4976000000000003"/>
  </r>
  <r>
    <n v="44"/>
    <s v="solid_geometry_with_problems_and_applications"/>
    <s v="302KB"/>
    <n v="307738"/>
    <n v="93"/>
    <n v="3.8"/>
    <n v="2.5"/>
    <n v="5.2026000000000003"/>
    <n v="181.7"/>
    <n v="4.0522"/>
  </r>
  <r>
    <n v="45"/>
    <s v="some_famous_problems_of_the_theory_of_numbers"/>
    <s v="54KB"/>
    <n v="55484"/>
    <n v="75"/>
    <n v="0.6"/>
    <n v="0.5"/>
    <n v="6.3257000000000003"/>
    <n v="558.70000000000005"/>
    <n v="4.7267999999999999"/>
  </r>
  <r>
    <n v="46"/>
    <s v="spherical_trigonometry"/>
    <s v="209KB"/>
    <n v="213820"/>
    <n v="86"/>
    <n v="3"/>
    <n v="2.1"/>
    <n v="6.1029"/>
    <n v="447.2"/>
    <n v="4.6981999999999999"/>
  </r>
  <r>
    <n v="47"/>
    <s v="symbolic_logic"/>
    <s v="348KB"/>
    <n v="356317"/>
    <n v="66"/>
    <n v="3.4"/>
    <n v="3.1"/>
    <n v="6.4610000000000003"/>
    <n v="639.70000000000005"/>
    <n v="4.2207999999999997"/>
  </r>
  <r>
    <n v="48"/>
    <s v="the_algebra_of_logic"/>
    <s v="161KB"/>
    <n v="165238"/>
    <n v="111"/>
    <n v="2"/>
    <n v="1.1000000000000001"/>
    <n v="5.4945000000000004"/>
    <n v="243.4"/>
    <n v="4.4295999999999998"/>
  </r>
  <r>
    <n v="49"/>
    <s v="the_elements_of_non-euclidean_geometry"/>
    <s v="539KB"/>
    <n v="552041"/>
    <n v="40"/>
    <n v="3.2"/>
    <n v="4.8"/>
    <n v="7.1840000000000002"/>
    <n v="1318.1"/>
    <n v="5.1981000000000002"/>
  </r>
  <r>
    <n v="50"/>
    <s v="the_evanston_colloquium_lectures_on_mathematics"/>
    <s v="180KB"/>
    <n v="184275"/>
    <n v="66"/>
    <n v="1.2"/>
    <n v="1.1000000000000001"/>
    <n v="6.9283000000000001"/>
    <n v="1020.7"/>
    <n v="5.9757999999999996"/>
  </r>
  <r>
    <n v="51"/>
    <s v="the_first_six_books_of_the_elements_of_euclid"/>
    <s v="488KB"/>
    <n v="500054"/>
    <n v="64"/>
    <n v="4.4000000000000004"/>
    <n v="4.0999999999999996"/>
    <n v="6.0759999999999996"/>
    <n v="435.3"/>
    <n v="4.3822000000000001"/>
  </r>
  <r>
    <n v="52"/>
    <s v="the_first_steps_in_algebra"/>
    <s v="230KB"/>
    <n v="235706"/>
    <n v="90"/>
    <n v="3.9"/>
    <n v="2.6"/>
    <n v="3.1779000000000002"/>
    <n v="24"/>
    <n v="3.6095000000000002"/>
  </r>
  <r>
    <n v="53"/>
    <s v="the_foundations_of_geometry"/>
    <s v="192KB"/>
    <n v="196822"/>
    <n v="87"/>
    <n v="2.2999999999999998"/>
    <n v="1.6"/>
    <n v="6.2224000000000004"/>
    <n v="503.9"/>
    <n v="4.9429999999999996"/>
  </r>
  <r>
    <n v="54"/>
    <s v="the_game_of_logic"/>
    <s v="88KB"/>
    <n v="90042"/>
    <n v="73"/>
    <n v="0.7"/>
    <n v="0.6"/>
    <n v="6.7899000000000003"/>
    <n v="888.8"/>
    <n v="4.8376000000000001"/>
  </r>
  <r>
    <n v="55"/>
    <s v="the_integration_of_functions_of_a_single_variable"/>
    <s v="124KB"/>
    <n v="126467"/>
    <n v="115"/>
    <n v="2.1"/>
    <n v="1.1000000000000001"/>
    <n v="6.2290999999999999"/>
    <n v="507.3"/>
    <n v="4.1973000000000003"/>
  </r>
  <r>
    <n v="56"/>
    <s v="the_logic_of_chance"/>
    <s v="954KB"/>
    <n v="976475"/>
    <n v="66"/>
    <n v="7.6"/>
    <n v="6.9"/>
    <n v="6.2778999999999998"/>
    <n v="532.70000000000005"/>
    <n v="5.5179"/>
  </r>
  <r>
    <n v="57"/>
    <s v="the_mathematical_analysis_of_logic"/>
    <s v="134KB"/>
    <n v="137439"/>
    <n v="104"/>
    <n v="1.9"/>
    <n v="1.1000000000000001"/>
    <n v="5.3105000000000002"/>
    <n v="202.5"/>
    <n v="4.4554999999999998"/>
  </r>
  <r>
    <n v="58"/>
    <s v="the_number-system_of_algebra"/>
    <s v="218KB"/>
    <n v="223312"/>
    <n v="95"/>
    <n v="2.5"/>
    <n v="1.6"/>
    <n v="6.3772000000000002"/>
    <n v="588.20000000000005"/>
    <n v="5.2382"/>
  </r>
  <r>
    <n v="59"/>
    <s v="the_theory_of_numbers"/>
    <s v="123KB"/>
    <n v="125756"/>
    <n v="101"/>
    <n v="1.8"/>
    <n v="1.1000000000000001"/>
    <n v="5.1829000000000001"/>
    <n v="178.2"/>
    <n v="4.2404999999999999"/>
  </r>
  <r>
    <n v="60"/>
    <s v="utility_of_quaternions_in_physics"/>
    <s v="209KB"/>
    <n v="214017"/>
    <n v="116"/>
    <n v="3.2"/>
    <n v="1.6"/>
    <n v="6.0472000000000001"/>
    <n v="422.9"/>
    <n v="5.0225"/>
  </r>
  <r>
    <n v="61"/>
    <s v="vector_analysis_and_quaternions"/>
    <s v="73KB"/>
    <n v="74782"/>
    <n v="94"/>
    <n v="0.8"/>
    <n v="0.5"/>
    <n v="5.8342000000000001"/>
    <n v="341.8"/>
    <n v="4.3230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7AA33-F931-1D45-B567-C80DA24289F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:N2" firstHeaderRow="1" firstDataRow="1" firstDataCol="0"/>
  <pivotFields count="1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Tim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320B-42A0-5040-87C6-97526930CC91}">
  <dimension ref="A1:O62"/>
  <sheetViews>
    <sheetView zoomScale="130" zoomScaleNormal="130" workbookViewId="0">
      <selection activeCell="B11" sqref="B11"/>
    </sheetView>
  </sheetViews>
  <sheetFormatPr baseColWidth="10" defaultRowHeight="16" x14ac:dyDescent="0.2"/>
  <cols>
    <col min="1" max="1" width="3.1640625" bestFit="1" customWidth="1"/>
    <col min="2" max="2" width="57.1640625" bestFit="1" customWidth="1"/>
    <col min="3" max="3" width="9.1640625" bestFit="1" customWidth="1"/>
    <col min="4" max="4" width="8.1640625" bestFit="1" customWidth="1"/>
    <col min="5" max="5" width="10.1640625" customWidth="1"/>
    <col min="6" max="6" width="8.6640625" customWidth="1"/>
    <col min="7" max="7" width="6.5" customWidth="1"/>
    <col min="8" max="8" width="10" customWidth="1"/>
    <col min="9" max="9" width="9.83203125" customWidth="1"/>
    <col min="10" max="10" width="11.6640625" customWidth="1"/>
    <col min="14" max="14" width="11.33203125" bestFit="1" customWidth="1"/>
  </cols>
  <sheetData>
    <row r="1" spans="1:15" x14ac:dyDescent="0.2">
      <c r="A1" s="3" t="s">
        <v>0</v>
      </c>
      <c r="B1" s="3" t="s">
        <v>1</v>
      </c>
      <c r="C1" s="3" t="s">
        <v>71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N1" t="s">
        <v>50</v>
      </c>
    </row>
    <row r="2" spans="1:15" x14ac:dyDescent="0.2">
      <c r="A2">
        <v>1</v>
      </c>
      <c r="B2" t="s">
        <v>9</v>
      </c>
      <c r="C2">
        <v>875</v>
      </c>
      <c r="D2">
        <v>895837</v>
      </c>
      <c r="E2">
        <v>68</v>
      </c>
      <c r="F2">
        <v>10.1</v>
      </c>
      <c r="G2">
        <v>8.9</v>
      </c>
      <c r="H2">
        <v>4.8998999999999997</v>
      </c>
      <c r="I2">
        <v>134.30000000000001</v>
      </c>
      <c r="J2">
        <v>3.9426999999999999</v>
      </c>
      <c r="N2" s="2">
        <v>161.1</v>
      </c>
      <c r="O2">
        <f>N2/60</f>
        <v>2.6850000000000001</v>
      </c>
    </row>
    <row r="3" spans="1:15" x14ac:dyDescent="0.2">
      <c r="A3">
        <v>2</v>
      </c>
      <c r="B3" t="s">
        <v>10</v>
      </c>
      <c r="C3">
        <v>176</v>
      </c>
      <c r="D3">
        <v>179877</v>
      </c>
      <c r="E3">
        <v>111</v>
      </c>
      <c r="F3">
        <v>4.0999999999999996</v>
      </c>
      <c r="G3">
        <v>2.2000000000000002</v>
      </c>
      <c r="H3">
        <v>3.5579999999999998</v>
      </c>
      <c r="I3">
        <v>35.1</v>
      </c>
      <c r="J3">
        <v>3.855</v>
      </c>
    </row>
    <row r="4" spans="1:15" x14ac:dyDescent="0.2">
      <c r="A4">
        <v>3</v>
      </c>
      <c r="B4" t="s">
        <v>11</v>
      </c>
      <c r="C4">
        <v>888</v>
      </c>
      <c r="D4">
        <v>908238</v>
      </c>
      <c r="E4">
        <v>54</v>
      </c>
      <c r="F4">
        <v>6.6</v>
      </c>
      <c r="G4">
        <v>7.3</v>
      </c>
      <c r="H4">
        <v>5.7765000000000004</v>
      </c>
      <c r="I4">
        <v>322.60000000000002</v>
      </c>
      <c r="J4">
        <v>5.3106999999999998</v>
      </c>
    </row>
    <row r="5" spans="1:15" x14ac:dyDescent="0.2">
      <c r="A5">
        <v>4</v>
      </c>
      <c r="B5" t="s">
        <v>12</v>
      </c>
      <c r="C5">
        <v>192</v>
      </c>
      <c r="D5">
        <v>194672</v>
      </c>
      <c r="E5">
        <v>85</v>
      </c>
      <c r="F5">
        <v>1.4</v>
      </c>
      <c r="G5">
        <v>1</v>
      </c>
      <c r="H5">
        <v>6.3144999999999998</v>
      </c>
      <c r="I5">
        <v>552.6</v>
      </c>
      <c r="J5">
        <v>5.0747</v>
      </c>
    </row>
    <row r="6" spans="1:15" x14ac:dyDescent="0.2">
      <c r="A6">
        <v>5</v>
      </c>
      <c r="B6" t="s">
        <v>13</v>
      </c>
      <c r="C6">
        <v>472</v>
      </c>
      <c r="D6">
        <v>483107</v>
      </c>
      <c r="E6">
        <v>85</v>
      </c>
      <c r="F6">
        <v>4.4000000000000004</v>
      </c>
      <c r="G6">
        <v>3.1</v>
      </c>
      <c r="H6">
        <v>5.9881000000000002</v>
      </c>
      <c r="I6">
        <v>398.7</v>
      </c>
      <c r="J6">
        <v>5.3052000000000001</v>
      </c>
    </row>
    <row r="7" spans="1:15" x14ac:dyDescent="0.2">
      <c r="A7">
        <v>6</v>
      </c>
      <c r="B7" t="s">
        <v>14</v>
      </c>
      <c r="C7">
        <v>304</v>
      </c>
      <c r="D7">
        <v>310852</v>
      </c>
      <c r="E7">
        <v>60</v>
      </c>
      <c r="F7">
        <v>2.1</v>
      </c>
      <c r="G7">
        <v>2.1</v>
      </c>
      <c r="H7">
        <v>7.4866000000000001</v>
      </c>
      <c r="I7">
        <v>1784</v>
      </c>
      <c r="J7">
        <v>6.0376000000000003</v>
      </c>
    </row>
    <row r="8" spans="1:15" x14ac:dyDescent="0.2">
      <c r="A8">
        <v>7</v>
      </c>
      <c r="B8" t="s">
        <v>15</v>
      </c>
      <c r="C8">
        <v>18</v>
      </c>
      <c r="D8">
        <v>18282</v>
      </c>
      <c r="E8">
        <v>200</v>
      </c>
      <c r="F8">
        <v>0.5</v>
      </c>
      <c r="G8">
        <v>0.1</v>
      </c>
      <c r="H8">
        <v>0.76439999999999997</v>
      </c>
      <c r="I8">
        <v>2.1</v>
      </c>
      <c r="J8">
        <v>0.76619999999999999</v>
      </c>
    </row>
    <row r="9" spans="1:15" x14ac:dyDescent="0.2">
      <c r="A9">
        <v>8</v>
      </c>
      <c r="B9" t="s">
        <v>16</v>
      </c>
      <c r="C9">
        <v>770</v>
      </c>
      <c r="D9">
        <v>788957</v>
      </c>
      <c r="E9">
        <v>73</v>
      </c>
      <c r="F9">
        <v>7.4</v>
      </c>
      <c r="G9">
        <v>6.1</v>
      </c>
      <c r="H9">
        <v>6.1668000000000003</v>
      </c>
      <c r="I9">
        <v>476.7</v>
      </c>
      <c r="J9">
        <v>4.5858999999999996</v>
      </c>
    </row>
    <row r="10" spans="1:15" x14ac:dyDescent="0.2">
      <c r="A10">
        <v>9</v>
      </c>
      <c r="B10" t="s">
        <v>51</v>
      </c>
      <c r="C10">
        <v>37</v>
      </c>
      <c r="D10">
        <v>35391</v>
      </c>
      <c r="E10">
        <v>102</v>
      </c>
      <c r="F10">
        <v>1</v>
      </c>
      <c r="G10">
        <v>0.6</v>
      </c>
      <c r="H10">
        <v>6.3681000000000001</v>
      </c>
      <c r="I10">
        <v>583</v>
      </c>
      <c r="J10">
        <v>2.8719999999999999</v>
      </c>
    </row>
    <row r="11" spans="1:15" x14ac:dyDescent="0.2">
      <c r="A11">
        <v>10</v>
      </c>
      <c r="B11" t="s">
        <v>52</v>
      </c>
      <c r="C11">
        <v>53</v>
      </c>
      <c r="D11">
        <v>52571</v>
      </c>
      <c r="E11">
        <v>80</v>
      </c>
      <c r="F11">
        <v>0.7</v>
      </c>
      <c r="G11">
        <v>0.6</v>
      </c>
      <c r="H11">
        <v>6.9954999999999998</v>
      </c>
      <c r="I11">
        <v>1091.7</v>
      </c>
      <c r="J11">
        <v>4.1756000000000002</v>
      </c>
    </row>
    <row r="12" spans="1:15" x14ac:dyDescent="0.2">
      <c r="A12">
        <v>11</v>
      </c>
      <c r="B12" t="s">
        <v>53</v>
      </c>
      <c r="C12">
        <v>65</v>
      </c>
      <c r="D12">
        <v>66327</v>
      </c>
      <c r="E12">
        <v>59</v>
      </c>
      <c r="F12">
        <v>0.6</v>
      </c>
      <c r="G12">
        <v>0.6</v>
      </c>
      <c r="H12">
        <v>7.3513000000000002</v>
      </c>
      <c r="I12">
        <v>1558.2</v>
      </c>
      <c r="J12">
        <v>4.726</v>
      </c>
    </row>
    <row r="13" spans="1:15" x14ac:dyDescent="0.2">
      <c r="A13">
        <v>12</v>
      </c>
      <c r="B13" t="s">
        <v>54</v>
      </c>
      <c r="C13">
        <v>36</v>
      </c>
      <c r="D13">
        <v>37074</v>
      </c>
      <c r="E13">
        <v>104</v>
      </c>
      <c r="F13">
        <v>0.8</v>
      </c>
      <c r="G13">
        <v>0.4</v>
      </c>
      <c r="H13">
        <v>5.8893000000000004</v>
      </c>
      <c r="I13">
        <v>361.2</v>
      </c>
      <c r="J13">
        <v>3.3357999999999999</v>
      </c>
    </row>
    <row r="14" spans="1:15" x14ac:dyDescent="0.2">
      <c r="A14">
        <v>13</v>
      </c>
      <c r="B14" t="s">
        <v>55</v>
      </c>
      <c r="C14">
        <v>69</v>
      </c>
      <c r="D14">
        <v>68640</v>
      </c>
      <c r="E14">
        <v>84</v>
      </c>
      <c r="F14">
        <v>0.8</v>
      </c>
      <c r="G14">
        <v>0.6</v>
      </c>
      <c r="H14">
        <v>6.5442999999999998</v>
      </c>
      <c r="I14">
        <v>695.3</v>
      </c>
      <c r="J14">
        <v>4.8730000000000002</v>
      </c>
    </row>
    <row r="15" spans="1:15" x14ac:dyDescent="0.2">
      <c r="A15">
        <v>14</v>
      </c>
      <c r="B15" t="s">
        <v>56</v>
      </c>
      <c r="C15">
        <v>28</v>
      </c>
      <c r="D15">
        <v>29097</v>
      </c>
      <c r="E15">
        <v>94</v>
      </c>
      <c r="F15">
        <v>0.6</v>
      </c>
      <c r="G15">
        <v>0.4</v>
      </c>
      <c r="H15">
        <v>4.5650000000000004</v>
      </c>
      <c r="I15">
        <v>96.1</v>
      </c>
      <c r="J15">
        <v>2.758</v>
      </c>
    </row>
    <row r="16" spans="1:15" x14ac:dyDescent="0.2">
      <c r="A16">
        <v>15</v>
      </c>
      <c r="B16" t="s">
        <v>69</v>
      </c>
      <c r="C16">
        <v>35</v>
      </c>
      <c r="D16">
        <v>34357</v>
      </c>
      <c r="E16">
        <v>70</v>
      </c>
      <c r="F16">
        <v>0.5</v>
      </c>
      <c r="G16">
        <v>0.4</v>
      </c>
      <c r="H16">
        <v>7.0571000000000002</v>
      </c>
      <c r="I16">
        <v>1161</v>
      </c>
      <c r="J16">
        <v>3.8089</v>
      </c>
    </row>
    <row r="17" spans="1:10" x14ac:dyDescent="0.2">
      <c r="A17">
        <v>16</v>
      </c>
      <c r="B17" t="s">
        <v>57</v>
      </c>
      <c r="C17">
        <v>145</v>
      </c>
      <c r="D17">
        <v>141648</v>
      </c>
      <c r="E17">
        <v>97</v>
      </c>
      <c r="F17">
        <v>2.5</v>
      </c>
      <c r="G17">
        <v>1.6</v>
      </c>
      <c r="H17">
        <v>5.6771000000000003</v>
      </c>
      <c r="I17">
        <v>292.10000000000002</v>
      </c>
      <c r="J17">
        <v>4.7257999999999996</v>
      </c>
    </row>
    <row r="18" spans="1:10" x14ac:dyDescent="0.2">
      <c r="A18">
        <v>17</v>
      </c>
      <c r="B18" t="s">
        <v>58</v>
      </c>
      <c r="C18">
        <v>28</v>
      </c>
      <c r="D18">
        <v>26555</v>
      </c>
      <c r="E18">
        <v>74</v>
      </c>
      <c r="F18">
        <v>0.4</v>
      </c>
      <c r="G18">
        <v>0.4</v>
      </c>
      <c r="H18">
        <v>5.77</v>
      </c>
      <c r="I18">
        <v>320.5</v>
      </c>
      <c r="J18">
        <v>3.2162000000000002</v>
      </c>
    </row>
    <row r="19" spans="1:10" x14ac:dyDescent="0.2">
      <c r="A19">
        <v>18</v>
      </c>
      <c r="B19" t="s">
        <v>59</v>
      </c>
      <c r="C19">
        <v>34</v>
      </c>
      <c r="D19">
        <v>32997</v>
      </c>
      <c r="E19">
        <v>74</v>
      </c>
      <c r="F19">
        <v>0.6</v>
      </c>
      <c r="G19">
        <v>0.5</v>
      </c>
      <c r="H19">
        <v>6.2739000000000003</v>
      </c>
      <c r="I19">
        <v>530.6</v>
      </c>
      <c r="J19">
        <v>4.4856999999999996</v>
      </c>
    </row>
    <row r="20" spans="1:10" x14ac:dyDescent="0.2">
      <c r="A20">
        <v>19</v>
      </c>
      <c r="B20" t="s">
        <v>60</v>
      </c>
      <c r="C20">
        <v>11</v>
      </c>
      <c r="D20">
        <v>11213</v>
      </c>
      <c r="E20">
        <v>200</v>
      </c>
      <c r="F20">
        <v>0.5</v>
      </c>
      <c r="G20">
        <v>0.2</v>
      </c>
      <c r="H20">
        <v>0.3911</v>
      </c>
      <c r="I20">
        <v>1.5</v>
      </c>
      <c r="J20">
        <v>0.3856</v>
      </c>
    </row>
    <row r="21" spans="1:10" x14ac:dyDescent="0.2">
      <c r="A21">
        <v>20</v>
      </c>
      <c r="B21" t="s">
        <v>61</v>
      </c>
      <c r="C21">
        <v>23</v>
      </c>
      <c r="D21">
        <v>23832</v>
      </c>
      <c r="E21">
        <v>200</v>
      </c>
      <c r="F21">
        <v>0.8</v>
      </c>
      <c r="G21">
        <v>0.2</v>
      </c>
      <c r="H21">
        <v>1.2114</v>
      </c>
      <c r="I21">
        <v>3.4</v>
      </c>
      <c r="J21">
        <v>1.2089000000000001</v>
      </c>
    </row>
    <row r="22" spans="1:10" x14ac:dyDescent="0.2">
      <c r="A22">
        <v>21</v>
      </c>
      <c r="B22" t="s">
        <v>62</v>
      </c>
      <c r="C22">
        <v>8</v>
      </c>
      <c r="D22">
        <v>8287</v>
      </c>
      <c r="E22">
        <v>200</v>
      </c>
      <c r="F22">
        <v>0.5</v>
      </c>
      <c r="G22">
        <v>0.2</v>
      </c>
      <c r="H22">
        <v>0.3523</v>
      </c>
      <c r="I22">
        <v>1.4</v>
      </c>
      <c r="J22">
        <v>0.34539999999999998</v>
      </c>
    </row>
    <row r="23" spans="1:10" x14ac:dyDescent="0.2">
      <c r="A23">
        <v>22</v>
      </c>
      <c r="B23" t="s">
        <v>63</v>
      </c>
      <c r="C23">
        <v>59</v>
      </c>
      <c r="D23">
        <v>59348</v>
      </c>
      <c r="E23">
        <v>65</v>
      </c>
      <c r="F23">
        <v>0.6</v>
      </c>
      <c r="G23">
        <v>0.5</v>
      </c>
      <c r="H23">
        <v>7.3996000000000004</v>
      </c>
      <c r="I23">
        <v>1635.3</v>
      </c>
      <c r="J23">
        <v>5.0298999999999996</v>
      </c>
    </row>
    <row r="24" spans="1:10" x14ac:dyDescent="0.2">
      <c r="A24">
        <v>23</v>
      </c>
      <c r="B24" t="s">
        <v>70</v>
      </c>
      <c r="C24">
        <v>32</v>
      </c>
      <c r="D24">
        <v>31612</v>
      </c>
      <c r="E24">
        <v>68</v>
      </c>
      <c r="F24">
        <v>0.6</v>
      </c>
      <c r="G24">
        <v>0.5</v>
      </c>
      <c r="H24">
        <v>6.7481</v>
      </c>
      <c r="I24">
        <v>852.4</v>
      </c>
      <c r="J24">
        <v>3.7429999999999999</v>
      </c>
    </row>
    <row r="25" spans="1:10" x14ac:dyDescent="0.2">
      <c r="A25">
        <v>24</v>
      </c>
      <c r="B25" t="s">
        <v>64</v>
      </c>
      <c r="C25">
        <v>57</v>
      </c>
      <c r="D25">
        <v>58010</v>
      </c>
      <c r="E25">
        <v>84</v>
      </c>
      <c r="F25">
        <v>0.8</v>
      </c>
      <c r="G25">
        <v>0.6</v>
      </c>
      <c r="H25">
        <v>5.1909999999999998</v>
      </c>
      <c r="I25">
        <v>179.6</v>
      </c>
      <c r="J25">
        <v>3.9342000000000001</v>
      </c>
    </row>
    <row r="26" spans="1:10" x14ac:dyDescent="0.2">
      <c r="A26">
        <v>25</v>
      </c>
      <c r="B26" t="s">
        <v>65</v>
      </c>
      <c r="C26">
        <v>16</v>
      </c>
      <c r="D26">
        <v>16224</v>
      </c>
      <c r="E26">
        <v>200</v>
      </c>
      <c r="F26">
        <v>0.6</v>
      </c>
      <c r="G26">
        <v>0.2</v>
      </c>
      <c r="H26">
        <v>0.66120000000000001</v>
      </c>
      <c r="I26">
        <v>1.9</v>
      </c>
      <c r="J26">
        <v>0.6603</v>
      </c>
    </row>
    <row r="27" spans="1:10" x14ac:dyDescent="0.2">
      <c r="A27">
        <v>26</v>
      </c>
      <c r="B27" t="s">
        <v>66</v>
      </c>
      <c r="C27">
        <v>12</v>
      </c>
      <c r="D27">
        <v>12713</v>
      </c>
      <c r="E27">
        <v>200</v>
      </c>
      <c r="F27">
        <v>0.9</v>
      </c>
      <c r="G27">
        <v>0.3</v>
      </c>
      <c r="H27">
        <v>0.89700000000000002</v>
      </c>
      <c r="I27">
        <v>2.5</v>
      </c>
      <c r="J27">
        <v>0.89700000000000002</v>
      </c>
    </row>
    <row r="28" spans="1:10" x14ac:dyDescent="0.2">
      <c r="A28">
        <v>27</v>
      </c>
      <c r="B28" t="s">
        <v>67</v>
      </c>
      <c r="C28">
        <v>13</v>
      </c>
      <c r="D28">
        <v>13266</v>
      </c>
      <c r="E28">
        <v>200</v>
      </c>
      <c r="F28">
        <v>0.6</v>
      </c>
      <c r="G28">
        <v>0.2</v>
      </c>
      <c r="H28">
        <v>0.65939999999999999</v>
      </c>
      <c r="I28">
        <v>1.9</v>
      </c>
      <c r="J28">
        <v>0.6623</v>
      </c>
    </row>
    <row r="29" spans="1:10" x14ac:dyDescent="0.2">
      <c r="A29">
        <v>28</v>
      </c>
      <c r="B29" t="s">
        <v>17</v>
      </c>
      <c r="C29">
        <v>256</v>
      </c>
      <c r="D29">
        <v>261740</v>
      </c>
      <c r="E29">
        <v>63</v>
      </c>
      <c r="F29">
        <v>2.9</v>
      </c>
      <c r="G29">
        <v>2.7</v>
      </c>
      <c r="H29">
        <v>5.0136000000000003</v>
      </c>
      <c r="I29">
        <v>150.4</v>
      </c>
      <c r="J29">
        <v>4.9241999999999999</v>
      </c>
    </row>
    <row r="30" spans="1:10" x14ac:dyDescent="0.2">
      <c r="A30">
        <v>29</v>
      </c>
      <c r="B30" t="s">
        <v>18</v>
      </c>
      <c r="C30">
        <v>240</v>
      </c>
      <c r="D30">
        <v>245888</v>
      </c>
      <c r="E30">
        <v>82</v>
      </c>
      <c r="F30">
        <v>3</v>
      </c>
      <c r="G30">
        <v>2.2000000000000002</v>
      </c>
      <c r="H30">
        <v>7.1394000000000002</v>
      </c>
      <c r="I30">
        <v>1260.7</v>
      </c>
      <c r="J30">
        <v>5.1893000000000002</v>
      </c>
    </row>
    <row r="31" spans="1:10" x14ac:dyDescent="0.2">
      <c r="A31">
        <v>30</v>
      </c>
      <c r="B31" t="s">
        <v>19</v>
      </c>
      <c r="C31">
        <v>342</v>
      </c>
      <c r="D31">
        <v>350319</v>
      </c>
      <c r="E31">
        <v>88</v>
      </c>
      <c r="F31">
        <v>3.6</v>
      </c>
      <c r="G31">
        <v>2.4</v>
      </c>
      <c r="H31">
        <v>5.2736999999999998</v>
      </c>
      <c r="I31">
        <v>195.1</v>
      </c>
      <c r="J31">
        <v>4.3124000000000002</v>
      </c>
    </row>
    <row r="32" spans="1:10" x14ac:dyDescent="0.2">
      <c r="A32">
        <v>31</v>
      </c>
      <c r="B32" t="s">
        <v>20</v>
      </c>
      <c r="C32">
        <v>171</v>
      </c>
      <c r="D32">
        <v>175391</v>
      </c>
      <c r="E32">
        <v>106</v>
      </c>
      <c r="F32">
        <v>1.8</v>
      </c>
      <c r="G32">
        <v>1</v>
      </c>
      <c r="H32">
        <v>6.3240999999999996</v>
      </c>
      <c r="I32">
        <v>557.9</v>
      </c>
      <c r="J32">
        <v>5.2516999999999996</v>
      </c>
    </row>
    <row r="33" spans="1:10" x14ac:dyDescent="0.2">
      <c r="A33">
        <v>32</v>
      </c>
      <c r="B33" t="s">
        <v>21</v>
      </c>
      <c r="C33">
        <v>166</v>
      </c>
      <c r="D33">
        <v>169523</v>
      </c>
      <c r="E33">
        <v>61</v>
      </c>
      <c r="F33">
        <v>1.1000000000000001</v>
      </c>
      <c r="G33">
        <v>1.1000000000000001</v>
      </c>
      <c r="H33">
        <v>7.1071</v>
      </c>
      <c r="I33">
        <v>1220.5999999999999</v>
      </c>
      <c r="J33">
        <v>5.2050999999999998</v>
      </c>
    </row>
    <row r="34" spans="1:10" x14ac:dyDescent="0.2">
      <c r="A34">
        <v>33</v>
      </c>
      <c r="B34" t="s">
        <v>22</v>
      </c>
      <c r="C34">
        <v>320</v>
      </c>
      <c r="D34">
        <v>326972</v>
      </c>
      <c r="E34">
        <v>77</v>
      </c>
      <c r="F34">
        <v>4.5999999999999996</v>
      </c>
      <c r="G34">
        <v>3.6</v>
      </c>
      <c r="H34">
        <v>4.5603999999999996</v>
      </c>
      <c r="I34">
        <v>95.6</v>
      </c>
      <c r="J34">
        <v>4.0757000000000003</v>
      </c>
    </row>
    <row r="35" spans="1:10" x14ac:dyDescent="0.2">
      <c r="A35">
        <v>34</v>
      </c>
      <c r="B35" t="s">
        <v>68</v>
      </c>
      <c r="C35">
        <v>101</v>
      </c>
      <c r="D35">
        <v>103411</v>
      </c>
      <c r="E35">
        <v>104</v>
      </c>
      <c r="F35">
        <v>1</v>
      </c>
      <c r="G35">
        <v>0.6</v>
      </c>
      <c r="H35">
        <v>6.2588999999999997</v>
      </c>
      <c r="I35">
        <v>522.6</v>
      </c>
      <c r="J35">
        <v>5.0579999999999998</v>
      </c>
    </row>
    <row r="36" spans="1:10" x14ac:dyDescent="0.2">
      <c r="A36">
        <v>35</v>
      </c>
      <c r="B36" t="s">
        <v>23</v>
      </c>
      <c r="C36">
        <v>71</v>
      </c>
      <c r="D36">
        <v>72681</v>
      </c>
      <c r="E36">
        <v>101</v>
      </c>
      <c r="F36">
        <v>1.2</v>
      </c>
      <c r="G36">
        <v>0.7</v>
      </c>
      <c r="H36">
        <v>4.6428000000000003</v>
      </c>
      <c r="I36">
        <v>103.8</v>
      </c>
      <c r="J36">
        <v>3.6122999999999998</v>
      </c>
    </row>
    <row r="37" spans="1:10" x14ac:dyDescent="0.2">
      <c r="A37">
        <v>36</v>
      </c>
      <c r="B37" t="s">
        <v>24</v>
      </c>
      <c r="C37">
        <v>335</v>
      </c>
      <c r="D37">
        <v>342845</v>
      </c>
      <c r="E37">
        <v>117</v>
      </c>
      <c r="F37">
        <v>7</v>
      </c>
      <c r="G37">
        <v>3.6</v>
      </c>
      <c r="H37">
        <v>4.5560999999999998</v>
      </c>
      <c r="I37">
        <v>95.2</v>
      </c>
      <c r="J37">
        <v>3.3807</v>
      </c>
    </row>
    <row r="38" spans="1:10" x14ac:dyDescent="0.2">
      <c r="A38">
        <v>37</v>
      </c>
      <c r="B38" t="s">
        <v>25</v>
      </c>
      <c r="C38">
        <v>236</v>
      </c>
      <c r="D38">
        <v>241092</v>
      </c>
      <c r="E38">
        <v>89</v>
      </c>
      <c r="F38">
        <v>2.4</v>
      </c>
      <c r="G38">
        <v>1.6</v>
      </c>
      <c r="H38">
        <v>7.0907999999999998</v>
      </c>
      <c r="I38">
        <v>1200.8</v>
      </c>
      <c r="J38">
        <v>5.3273000000000001</v>
      </c>
    </row>
    <row r="39" spans="1:10" x14ac:dyDescent="0.2">
      <c r="A39">
        <v>38</v>
      </c>
      <c r="B39" t="s">
        <v>26</v>
      </c>
      <c r="C39">
        <v>816</v>
      </c>
      <c r="D39">
        <v>835629</v>
      </c>
      <c r="E39">
        <v>49</v>
      </c>
      <c r="F39">
        <v>5.5</v>
      </c>
      <c r="G39">
        <v>6.7</v>
      </c>
      <c r="H39">
        <v>6.6707000000000001</v>
      </c>
      <c r="I39">
        <v>789</v>
      </c>
      <c r="J39">
        <v>5.3902000000000001</v>
      </c>
    </row>
    <row r="40" spans="1:10" x14ac:dyDescent="0.2">
      <c r="A40">
        <v>39</v>
      </c>
      <c r="B40" t="s">
        <v>27</v>
      </c>
      <c r="C40">
        <v>400</v>
      </c>
      <c r="D40">
        <v>409502</v>
      </c>
      <c r="E40">
        <v>57</v>
      </c>
      <c r="F40">
        <v>3</v>
      </c>
      <c r="G40">
        <v>3.1</v>
      </c>
      <c r="H40">
        <v>6.5355999999999996</v>
      </c>
      <c r="I40">
        <v>689.2</v>
      </c>
      <c r="J40">
        <v>5.2972999999999999</v>
      </c>
    </row>
    <row r="41" spans="1:10" x14ac:dyDescent="0.2">
      <c r="A41">
        <v>40</v>
      </c>
      <c r="B41" t="s">
        <v>28</v>
      </c>
      <c r="C41">
        <v>1821</v>
      </c>
      <c r="D41">
        <v>1854300</v>
      </c>
      <c r="E41">
        <v>45</v>
      </c>
      <c r="F41">
        <v>9.4</v>
      </c>
      <c r="G41">
        <v>12.6</v>
      </c>
      <c r="H41">
        <v>6.1361999999999997</v>
      </c>
      <c r="I41">
        <v>462.3</v>
      </c>
      <c r="J41">
        <v>4.9547999999999996</v>
      </c>
    </row>
    <row r="42" spans="1:10" x14ac:dyDescent="0.2">
      <c r="A42">
        <v>41</v>
      </c>
      <c r="B42" t="s">
        <v>29</v>
      </c>
      <c r="C42">
        <v>1129</v>
      </c>
      <c r="D42">
        <v>1112062</v>
      </c>
      <c r="E42">
        <v>45</v>
      </c>
      <c r="F42">
        <v>8.1999999999999993</v>
      </c>
      <c r="G42">
        <v>11</v>
      </c>
      <c r="H42">
        <v>5.3776000000000002</v>
      </c>
      <c r="I42">
        <v>216.5</v>
      </c>
      <c r="J42">
        <v>4.8707000000000003</v>
      </c>
    </row>
    <row r="43" spans="1:10" x14ac:dyDescent="0.2">
      <c r="A43">
        <v>42</v>
      </c>
      <c r="B43" t="s">
        <v>30</v>
      </c>
      <c r="C43">
        <v>300</v>
      </c>
      <c r="D43">
        <v>306401</v>
      </c>
      <c r="E43">
        <v>84</v>
      </c>
      <c r="F43">
        <v>3.8</v>
      </c>
      <c r="G43">
        <v>2.7</v>
      </c>
      <c r="H43">
        <v>5.2450000000000001</v>
      </c>
      <c r="I43">
        <v>189.6</v>
      </c>
      <c r="J43">
        <v>4.0997000000000003</v>
      </c>
    </row>
    <row r="44" spans="1:10" x14ac:dyDescent="0.2">
      <c r="A44">
        <v>43</v>
      </c>
      <c r="B44" t="s">
        <v>31</v>
      </c>
      <c r="C44">
        <v>359</v>
      </c>
      <c r="D44">
        <v>367815</v>
      </c>
      <c r="E44">
        <v>80</v>
      </c>
      <c r="F44">
        <v>3.2</v>
      </c>
      <c r="G44">
        <v>2.4</v>
      </c>
      <c r="H44">
        <v>6.4029999999999996</v>
      </c>
      <c r="I44">
        <v>603.6</v>
      </c>
      <c r="J44">
        <v>5.4976000000000003</v>
      </c>
    </row>
    <row r="45" spans="1:10" x14ac:dyDescent="0.2">
      <c r="A45">
        <v>44</v>
      </c>
      <c r="B45" t="s">
        <v>32</v>
      </c>
      <c r="C45">
        <v>302</v>
      </c>
      <c r="D45">
        <v>307738</v>
      </c>
      <c r="E45">
        <v>93</v>
      </c>
      <c r="F45">
        <v>3.8</v>
      </c>
      <c r="G45">
        <v>2.5</v>
      </c>
      <c r="H45">
        <v>5.2026000000000003</v>
      </c>
      <c r="I45">
        <v>181.7</v>
      </c>
      <c r="J45">
        <v>4.0522</v>
      </c>
    </row>
    <row r="46" spans="1:10" x14ac:dyDescent="0.2">
      <c r="A46">
        <v>45</v>
      </c>
      <c r="B46" t="s">
        <v>33</v>
      </c>
      <c r="C46">
        <v>54</v>
      </c>
      <c r="D46">
        <v>55484</v>
      </c>
      <c r="E46">
        <v>75</v>
      </c>
      <c r="F46">
        <v>0.6</v>
      </c>
      <c r="G46">
        <v>0.5</v>
      </c>
      <c r="H46">
        <v>6.3257000000000003</v>
      </c>
      <c r="I46">
        <v>558.70000000000005</v>
      </c>
      <c r="J46">
        <v>4.7267999999999999</v>
      </c>
    </row>
    <row r="47" spans="1:10" x14ac:dyDescent="0.2">
      <c r="A47">
        <v>46</v>
      </c>
      <c r="B47" t="s">
        <v>34</v>
      </c>
      <c r="C47">
        <v>209</v>
      </c>
      <c r="D47">
        <v>213820</v>
      </c>
      <c r="E47">
        <v>86</v>
      </c>
      <c r="F47">
        <v>3</v>
      </c>
      <c r="G47">
        <v>2.1</v>
      </c>
      <c r="H47">
        <v>6.1029</v>
      </c>
      <c r="I47">
        <v>447.2</v>
      </c>
      <c r="J47">
        <v>4.6981999999999999</v>
      </c>
    </row>
    <row r="48" spans="1:10" x14ac:dyDescent="0.2">
      <c r="A48">
        <v>47</v>
      </c>
      <c r="B48" t="s">
        <v>35</v>
      </c>
      <c r="C48">
        <v>348</v>
      </c>
      <c r="D48">
        <v>356317</v>
      </c>
      <c r="E48">
        <v>66</v>
      </c>
      <c r="F48">
        <v>3.4</v>
      </c>
      <c r="G48">
        <v>3.1</v>
      </c>
      <c r="H48">
        <v>6.4610000000000003</v>
      </c>
      <c r="I48">
        <v>639.70000000000005</v>
      </c>
      <c r="J48">
        <v>4.2207999999999997</v>
      </c>
    </row>
    <row r="49" spans="1:10" x14ac:dyDescent="0.2">
      <c r="A49">
        <v>48</v>
      </c>
      <c r="B49" t="s">
        <v>36</v>
      </c>
      <c r="C49">
        <v>161</v>
      </c>
      <c r="D49">
        <v>165238</v>
      </c>
      <c r="E49">
        <v>111</v>
      </c>
      <c r="F49">
        <v>2</v>
      </c>
      <c r="G49">
        <v>1.1000000000000001</v>
      </c>
      <c r="H49">
        <v>5.4945000000000004</v>
      </c>
      <c r="I49">
        <v>243.4</v>
      </c>
      <c r="J49">
        <v>4.4295999999999998</v>
      </c>
    </row>
    <row r="50" spans="1:10" x14ac:dyDescent="0.2">
      <c r="A50">
        <v>49</v>
      </c>
      <c r="B50" t="s">
        <v>37</v>
      </c>
      <c r="C50">
        <v>539</v>
      </c>
      <c r="D50">
        <v>552041</v>
      </c>
      <c r="E50">
        <v>40</v>
      </c>
      <c r="F50">
        <v>3.2</v>
      </c>
      <c r="G50">
        <v>4.8</v>
      </c>
      <c r="H50">
        <v>7.1840000000000002</v>
      </c>
      <c r="I50">
        <v>1318.1</v>
      </c>
      <c r="J50">
        <v>5.1981000000000002</v>
      </c>
    </row>
    <row r="51" spans="1:10" x14ac:dyDescent="0.2">
      <c r="A51">
        <v>50</v>
      </c>
      <c r="B51" t="s">
        <v>38</v>
      </c>
      <c r="C51">
        <v>180</v>
      </c>
      <c r="D51">
        <v>184275</v>
      </c>
      <c r="E51">
        <v>66</v>
      </c>
      <c r="F51">
        <v>1.2</v>
      </c>
      <c r="G51">
        <v>1.1000000000000001</v>
      </c>
      <c r="H51">
        <v>6.9283000000000001</v>
      </c>
      <c r="I51">
        <v>1020.7</v>
      </c>
      <c r="J51">
        <v>5.9757999999999996</v>
      </c>
    </row>
    <row r="52" spans="1:10" x14ac:dyDescent="0.2">
      <c r="A52">
        <v>51</v>
      </c>
      <c r="B52" t="s">
        <v>39</v>
      </c>
      <c r="C52">
        <v>488</v>
      </c>
      <c r="D52">
        <v>500054</v>
      </c>
      <c r="E52">
        <v>64</v>
      </c>
      <c r="F52">
        <v>4.4000000000000004</v>
      </c>
      <c r="G52">
        <v>4.0999999999999996</v>
      </c>
      <c r="H52">
        <v>6.0759999999999996</v>
      </c>
      <c r="I52">
        <v>435.3</v>
      </c>
      <c r="J52">
        <v>4.3822000000000001</v>
      </c>
    </row>
    <row r="53" spans="1:10" x14ac:dyDescent="0.2">
      <c r="A53">
        <v>52</v>
      </c>
      <c r="B53" t="s">
        <v>40</v>
      </c>
      <c r="C53">
        <v>230</v>
      </c>
      <c r="D53">
        <v>235706</v>
      </c>
      <c r="E53">
        <v>90</v>
      </c>
      <c r="F53">
        <v>3.9</v>
      </c>
      <c r="G53">
        <v>2.6</v>
      </c>
      <c r="H53">
        <v>3.1779000000000002</v>
      </c>
      <c r="I53">
        <v>24</v>
      </c>
      <c r="J53">
        <v>3.6095000000000002</v>
      </c>
    </row>
    <row r="54" spans="1:10" x14ac:dyDescent="0.2">
      <c r="A54">
        <v>53</v>
      </c>
      <c r="B54" t="s">
        <v>41</v>
      </c>
      <c r="C54">
        <v>192</v>
      </c>
      <c r="D54">
        <v>196822</v>
      </c>
      <c r="E54">
        <v>87</v>
      </c>
      <c r="F54">
        <v>2.2999999999999998</v>
      </c>
      <c r="G54">
        <v>1.6</v>
      </c>
      <c r="H54">
        <v>6.2224000000000004</v>
      </c>
      <c r="I54">
        <v>503.9</v>
      </c>
      <c r="J54">
        <v>4.9429999999999996</v>
      </c>
    </row>
    <row r="55" spans="1:10" x14ac:dyDescent="0.2">
      <c r="A55">
        <v>54</v>
      </c>
      <c r="B55" t="s">
        <v>42</v>
      </c>
      <c r="C55">
        <v>88</v>
      </c>
      <c r="D55">
        <v>90042</v>
      </c>
      <c r="E55">
        <v>73</v>
      </c>
      <c r="F55">
        <v>0.7</v>
      </c>
      <c r="G55">
        <v>0.6</v>
      </c>
      <c r="H55">
        <v>6.7899000000000003</v>
      </c>
      <c r="I55">
        <v>888.8</v>
      </c>
      <c r="J55">
        <v>4.8376000000000001</v>
      </c>
    </row>
    <row r="56" spans="1:10" x14ac:dyDescent="0.2">
      <c r="A56">
        <v>55</v>
      </c>
      <c r="B56" t="s">
        <v>43</v>
      </c>
      <c r="C56">
        <v>124</v>
      </c>
      <c r="D56">
        <v>126467</v>
      </c>
      <c r="E56">
        <v>115</v>
      </c>
      <c r="F56">
        <v>2.1</v>
      </c>
      <c r="G56">
        <v>1.1000000000000001</v>
      </c>
      <c r="H56">
        <v>6.2290999999999999</v>
      </c>
      <c r="I56">
        <v>507.3</v>
      </c>
      <c r="J56">
        <v>4.1973000000000003</v>
      </c>
    </row>
    <row r="57" spans="1:10" x14ac:dyDescent="0.2">
      <c r="A57">
        <v>56</v>
      </c>
      <c r="B57" t="s">
        <v>44</v>
      </c>
      <c r="C57">
        <v>954</v>
      </c>
      <c r="D57">
        <v>976475</v>
      </c>
      <c r="E57">
        <v>66</v>
      </c>
      <c r="F57">
        <v>7.6</v>
      </c>
      <c r="G57">
        <v>6.9</v>
      </c>
      <c r="H57">
        <v>6.2778999999999998</v>
      </c>
      <c r="I57">
        <v>532.70000000000005</v>
      </c>
      <c r="J57">
        <v>5.5179</v>
      </c>
    </row>
    <row r="58" spans="1:10" x14ac:dyDescent="0.2">
      <c r="A58">
        <v>57</v>
      </c>
      <c r="B58" t="s">
        <v>45</v>
      </c>
      <c r="C58">
        <v>134</v>
      </c>
      <c r="D58">
        <v>137439</v>
      </c>
      <c r="E58">
        <v>104</v>
      </c>
      <c r="F58">
        <v>1.9</v>
      </c>
      <c r="G58">
        <v>1.1000000000000001</v>
      </c>
      <c r="H58">
        <v>5.3105000000000002</v>
      </c>
      <c r="I58">
        <v>202.5</v>
      </c>
      <c r="J58">
        <v>4.4554999999999998</v>
      </c>
    </row>
    <row r="59" spans="1:10" x14ac:dyDescent="0.2">
      <c r="A59">
        <v>58</v>
      </c>
      <c r="B59" t="s">
        <v>46</v>
      </c>
      <c r="C59">
        <v>218</v>
      </c>
      <c r="D59">
        <v>223312</v>
      </c>
      <c r="E59">
        <v>95</v>
      </c>
      <c r="F59">
        <v>2.5</v>
      </c>
      <c r="G59">
        <v>1.6</v>
      </c>
      <c r="H59">
        <v>6.3772000000000002</v>
      </c>
      <c r="I59">
        <v>588.20000000000005</v>
      </c>
      <c r="J59">
        <v>5.2382</v>
      </c>
    </row>
    <row r="60" spans="1:10" x14ac:dyDescent="0.2">
      <c r="A60">
        <v>59</v>
      </c>
      <c r="B60" t="s">
        <v>47</v>
      </c>
      <c r="C60">
        <v>123</v>
      </c>
      <c r="D60">
        <v>125756</v>
      </c>
      <c r="E60">
        <v>101</v>
      </c>
      <c r="F60">
        <v>1.8</v>
      </c>
      <c r="G60">
        <v>1.1000000000000001</v>
      </c>
      <c r="H60">
        <v>5.1829000000000001</v>
      </c>
      <c r="I60">
        <v>178.2</v>
      </c>
      <c r="J60">
        <v>4.2404999999999999</v>
      </c>
    </row>
    <row r="61" spans="1:10" x14ac:dyDescent="0.2">
      <c r="A61">
        <v>60</v>
      </c>
      <c r="B61" t="s">
        <v>48</v>
      </c>
      <c r="C61">
        <v>209</v>
      </c>
      <c r="D61">
        <v>214017</v>
      </c>
      <c r="E61">
        <v>116</v>
      </c>
      <c r="F61">
        <v>3.2</v>
      </c>
      <c r="G61">
        <v>1.6</v>
      </c>
      <c r="H61">
        <v>6.0472000000000001</v>
      </c>
      <c r="I61">
        <v>422.9</v>
      </c>
      <c r="J61">
        <v>5.0225</v>
      </c>
    </row>
    <row r="62" spans="1:10" x14ac:dyDescent="0.2">
      <c r="A62">
        <v>61</v>
      </c>
      <c r="B62" t="s">
        <v>49</v>
      </c>
      <c r="C62">
        <v>73</v>
      </c>
      <c r="D62">
        <v>74782</v>
      </c>
      <c r="E62">
        <v>94</v>
      </c>
      <c r="F62">
        <v>0.8</v>
      </c>
      <c r="G62">
        <v>0.5</v>
      </c>
      <c r="H62">
        <v>5.8342000000000001</v>
      </c>
      <c r="I62">
        <v>341.8</v>
      </c>
      <c r="J62">
        <v>4.3230000000000004</v>
      </c>
    </row>
  </sheetData>
  <sortState xmlns:xlrd2="http://schemas.microsoft.com/office/spreadsheetml/2017/richdata2" ref="A2:J62">
    <sortCondition ref="B2:B62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AC80-72C3-3D4A-AF79-9F15624E8028}">
  <dimension ref="A1:Q12"/>
  <sheetViews>
    <sheetView workbookViewId="0">
      <selection activeCell="P14" sqref="P14"/>
    </sheetView>
  </sheetViews>
  <sheetFormatPr baseColWidth="10" defaultRowHeight="16" x14ac:dyDescent="0.2"/>
  <cols>
    <col min="2" max="2" width="39.5" bestFit="1" customWidth="1"/>
    <col min="3" max="3" width="8.83203125" bestFit="1" customWidth="1"/>
    <col min="4" max="4" width="8.1640625" bestFit="1" customWidth="1"/>
    <col min="17" max="17" width="13" bestFit="1" customWidth="1"/>
    <col min="18" max="18" width="7.6640625" bestFit="1" customWidth="1"/>
  </cols>
  <sheetData>
    <row r="1" spans="1:17" x14ac:dyDescent="0.2">
      <c r="A1" s="1" t="s">
        <v>0</v>
      </c>
      <c r="B1" s="1" t="s">
        <v>1</v>
      </c>
      <c r="C1" s="1" t="s">
        <v>77</v>
      </c>
      <c r="D1" s="1" t="s">
        <v>2</v>
      </c>
      <c r="E1" s="1" t="s">
        <v>72</v>
      </c>
      <c r="F1" s="1" t="s">
        <v>3</v>
      </c>
      <c r="G1" s="1" t="s">
        <v>4</v>
      </c>
      <c r="H1" s="1" t="s">
        <v>5</v>
      </c>
      <c r="I1" s="1" t="s">
        <v>73</v>
      </c>
      <c r="J1" s="1" t="s">
        <v>74</v>
      </c>
      <c r="K1" s="1" t="s">
        <v>75</v>
      </c>
      <c r="L1" s="1" t="s">
        <v>76</v>
      </c>
      <c r="P1" s="1" t="s">
        <v>77</v>
      </c>
      <c r="Q1" s="1" t="s">
        <v>4</v>
      </c>
    </row>
    <row r="2" spans="1:17" x14ac:dyDescent="0.2">
      <c r="A2">
        <v>1</v>
      </c>
      <c r="B2" t="s">
        <v>9</v>
      </c>
      <c r="C2" s="4">
        <f>VLOOKUP(B2,PreTrain!B2:D62,2,FALSE)</f>
        <v>875</v>
      </c>
      <c r="D2">
        <f>VLOOKUP(B2,PreTrain!B2:D62,3,FALSE)</f>
        <v>895837</v>
      </c>
      <c r="E2">
        <v>2000</v>
      </c>
      <c r="F2">
        <v>30</v>
      </c>
      <c r="G2">
        <v>14.5</v>
      </c>
      <c r="H2">
        <v>29.1</v>
      </c>
      <c r="I2">
        <v>3.5589</v>
      </c>
      <c r="J2">
        <v>35.1</v>
      </c>
      <c r="K2">
        <v>4.8998999999999997</v>
      </c>
      <c r="L2">
        <v>-1.341</v>
      </c>
      <c r="P2" s="4">
        <v>176</v>
      </c>
      <c r="Q2">
        <v>9.1999999999999993</v>
      </c>
    </row>
    <row r="3" spans="1:17" x14ac:dyDescent="0.2">
      <c r="A3">
        <v>2</v>
      </c>
      <c r="B3" t="s">
        <v>10</v>
      </c>
      <c r="C3" s="4">
        <f>VLOOKUP(B3,PreTrain!B3:D63,2,FALSE)</f>
        <v>176</v>
      </c>
      <c r="D3">
        <f>VLOOKUP(B3,PreTrain!B3:D63,3,FALSE)</f>
        <v>179877</v>
      </c>
      <c r="E3">
        <v>1293</v>
      </c>
      <c r="F3">
        <v>30</v>
      </c>
      <c r="G3">
        <v>9.1999999999999993</v>
      </c>
      <c r="H3">
        <v>18.399999999999999</v>
      </c>
      <c r="I3">
        <v>3.7023999999999999</v>
      </c>
      <c r="J3">
        <v>40.5</v>
      </c>
      <c r="K3">
        <v>3.5579999999999998</v>
      </c>
      <c r="L3">
        <v>0.1444</v>
      </c>
      <c r="P3" s="4">
        <v>192</v>
      </c>
      <c r="Q3">
        <v>12.5</v>
      </c>
    </row>
    <row r="4" spans="1:17" x14ac:dyDescent="0.2">
      <c r="A4">
        <v>3</v>
      </c>
      <c r="B4" t="s">
        <v>11</v>
      </c>
      <c r="C4" s="4">
        <f>VLOOKUP(B4,PreTrain!B4:D64,2,FALSE)</f>
        <v>888</v>
      </c>
      <c r="D4">
        <f>VLOOKUP(B4,PreTrain!B4:D64,3,FALSE)</f>
        <v>908238</v>
      </c>
      <c r="E4">
        <v>2000</v>
      </c>
      <c r="F4">
        <v>30</v>
      </c>
      <c r="G4">
        <v>14.6</v>
      </c>
      <c r="H4">
        <v>29.1</v>
      </c>
      <c r="I4">
        <v>4.5552000000000001</v>
      </c>
      <c r="J4">
        <v>95.1</v>
      </c>
      <c r="K4">
        <v>5.7765000000000004</v>
      </c>
      <c r="L4">
        <v>-1.2212000000000001</v>
      </c>
      <c r="P4" s="4">
        <v>230</v>
      </c>
      <c r="Q4">
        <v>9.9</v>
      </c>
    </row>
    <row r="5" spans="1:17" x14ac:dyDescent="0.2">
      <c r="A5">
        <v>4</v>
      </c>
      <c r="B5" t="s">
        <v>14</v>
      </c>
      <c r="C5" s="4">
        <f>VLOOKUP(B5,PreTrain!B5:D65,2,FALSE)</f>
        <v>304</v>
      </c>
      <c r="D5">
        <f>VLOOKUP(B5,PreTrain!B5:D65,3,FALSE)</f>
        <v>310852</v>
      </c>
      <c r="E5">
        <v>2000</v>
      </c>
      <c r="F5">
        <v>30</v>
      </c>
      <c r="G5">
        <v>14.4</v>
      </c>
      <c r="H5">
        <v>28.8</v>
      </c>
      <c r="I5">
        <v>5.1567999999999996</v>
      </c>
      <c r="J5">
        <v>173.6</v>
      </c>
      <c r="K5">
        <v>7.4866000000000001</v>
      </c>
      <c r="L5">
        <v>-2.3298999999999999</v>
      </c>
      <c r="P5" s="4">
        <v>256</v>
      </c>
      <c r="Q5">
        <v>12.6</v>
      </c>
    </row>
    <row r="6" spans="1:17" x14ac:dyDescent="0.2">
      <c r="A6">
        <v>5</v>
      </c>
      <c r="B6" t="s">
        <v>17</v>
      </c>
      <c r="C6" s="4">
        <f>VLOOKUP(B6,PreTrain!B6:D66,2,FALSE)</f>
        <v>256</v>
      </c>
      <c r="D6">
        <f>VLOOKUP(B6,PreTrain!B6:D66,3,FALSE)</f>
        <v>261740</v>
      </c>
      <c r="E6">
        <v>1740</v>
      </c>
      <c r="F6">
        <v>30</v>
      </c>
      <c r="G6">
        <v>12.6</v>
      </c>
      <c r="H6">
        <v>25.2</v>
      </c>
      <c r="I6">
        <v>4.4783999999999997</v>
      </c>
      <c r="J6">
        <v>88.1</v>
      </c>
      <c r="K6">
        <v>5.0136000000000003</v>
      </c>
      <c r="L6">
        <v>-0.53520000000000001</v>
      </c>
      <c r="P6" s="4">
        <v>300</v>
      </c>
      <c r="Q6">
        <v>15.1</v>
      </c>
    </row>
    <row r="7" spans="1:17" x14ac:dyDescent="0.2">
      <c r="A7">
        <v>6</v>
      </c>
      <c r="B7" t="s">
        <v>28</v>
      </c>
      <c r="C7" s="4">
        <f>VLOOKUP(B7,PreTrain!B7:D67,2,FALSE)</f>
        <v>1821</v>
      </c>
      <c r="D7">
        <f>VLOOKUP(B7,PreTrain!B7:D67,3,FALSE)</f>
        <v>1854300</v>
      </c>
      <c r="E7">
        <v>2000</v>
      </c>
      <c r="F7">
        <v>30</v>
      </c>
      <c r="G7">
        <v>14</v>
      </c>
      <c r="H7">
        <v>28</v>
      </c>
      <c r="I7">
        <v>3.8448000000000002</v>
      </c>
      <c r="J7">
        <v>46.7</v>
      </c>
      <c r="K7">
        <v>6.1361999999999997</v>
      </c>
      <c r="L7">
        <v>-2.2913999999999999</v>
      </c>
      <c r="P7" s="4">
        <v>304</v>
      </c>
      <c r="Q7">
        <v>14.4</v>
      </c>
    </row>
    <row r="8" spans="1:17" x14ac:dyDescent="0.2">
      <c r="A8">
        <v>7</v>
      </c>
      <c r="B8" t="s">
        <v>30</v>
      </c>
      <c r="C8" s="4">
        <f>VLOOKUP(B8,PreTrain!B8:D68,2,FALSE)</f>
        <v>300</v>
      </c>
      <c r="D8">
        <f>VLOOKUP(B8,PreTrain!B8:D68,3,FALSE)</f>
        <v>306401</v>
      </c>
      <c r="E8">
        <v>2000</v>
      </c>
      <c r="F8">
        <v>30</v>
      </c>
      <c r="G8">
        <v>15.1</v>
      </c>
      <c r="H8">
        <v>30.1</v>
      </c>
      <c r="I8">
        <v>3.3031000000000001</v>
      </c>
      <c r="J8">
        <v>27.2</v>
      </c>
      <c r="K8">
        <v>5.2450000000000001</v>
      </c>
      <c r="L8">
        <v>-1.9419</v>
      </c>
      <c r="P8" s="4">
        <v>488</v>
      </c>
      <c r="Q8">
        <v>14.6</v>
      </c>
    </row>
    <row r="9" spans="1:17" x14ac:dyDescent="0.2">
      <c r="A9">
        <v>8</v>
      </c>
      <c r="B9" t="s">
        <v>37</v>
      </c>
      <c r="C9" s="4">
        <f>VLOOKUP(B9,PreTrain!B9:D69,2,FALSE)</f>
        <v>539</v>
      </c>
      <c r="D9">
        <f>VLOOKUP(B9,PreTrain!B9:D69,3,FALSE)</f>
        <v>552041</v>
      </c>
      <c r="E9">
        <v>2000</v>
      </c>
      <c r="F9">
        <v>30</v>
      </c>
      <c r="G9">
        <v>14.8</v>
      </c>
      <c r="H9">
        <v>29.6</v>
      </c>
      <c r="I9">
        <v>4.3808999999999996</v>
      </c>
      <c r="J9">
        <v>79.900000000000006</v>
      </c>
      <c r="K9">
        <v>7.1840000000000002</v>
      </c>
      <c r="L9">
        <v>-2.8029999999999999</v>
      </c>
      <c r="P9" s="4">
        <v>539</v>
      </c>
      <c r="Q9">
        <v>14.8</v>
      </c>
    </row>
    <row r="10" spans="1:17" x14ac:dyDescent="0.2">
      <c r="A10">
        <v>9</v>
      </c>
      <c r="B10" t="s">
        <v>39</v>
      </c>
      <c r="C10" s="4">
        <f>VLOOKUP(B10,PreTrain!B10:D70,2,FALSE)</f>
        <v>488</v>
      </c>
      <c r="D10">
        <f>VLOOKUP(B10,PreTrain!B10:D70,3,FALSE)</f>
        <v>500054</v>
      </c>
      <c r="E10">
        <v>2000</v>
      </c>
      <c r="F10">
        <v>30</v>
      </c>
      <c r="G10">
        <v>14.6</v>
      </c>
      <c r="H10">
        <v>29.2</v>
      </c>
      <c r="I10">
        <v>3.7351000000000001</v>
      </c>
      <c r="J10">
        <v>41.9</v>
      </c>
      <c r="K10">
        <v>6.0759999999999996</v>
      </c>
      <c r="L10">
        <v>-2.3409</v>
      </c>
      <c r="P10" s="4">
        <v>875</v>
      </c>
      <c r="Q10">
        <v>14.5</v>
      </c>
    </row>
    <row r="11" spans="1:17" x14ac:dyDescent="0.2">
      <c r="A11">
        <v>10</v>
      </c>
      <c r="B11" t="s">
        <v>40</v>
      </c>
      <c r="C11" s="4">
        <f>VLOOKUP(B11,PreTrain!B11:D71,2,FALSE)</f>
        <v>230</v>
      </c>
      <c r="D11">
        <f>VLOOKUP(B11,PreTrain!B11:D71,3,FALSE)</f>
        <v>235706</v>
      </c>
      <c r="E11">
        <v>1429</v>
      </c>
      <c r="F11">
        <v>30</v>
      </c>
      <c r="G11">
        <v>9.9</v>
      </c>
      <c r="H11">
        <v>19.8</v>
      </c>
      <c r="I11">
        <v>3.9573999999999998</v>
      </c>
      <c r="J11">
        <v>52.3</v>
      </c>
      <c r="K11">
        <v>3.1779000000000002</v>
      </c>
      <c r="L11">
        <v>0.77949999999999997</v>
      </c>
      <c r="P11" s="4">
        <v>888</v>
      </c>
      <c r="Q11">
        <v>14.6</v>
      </c>
    </row>
    <row r="12" spans="1:17" x14ac:dyDescent="0.2">
      <c r="A12">
        <v>11</v>
      </c>
      <c r="B12" t="s">
        <v>41</v>
      </c>
      <c r="C12" s="4">
        <f>VLOOKUP(B12,PreTrain!B12:D72,2,FALSE)</f>
        <v>192</v>
      </c>
      <c r="D12">
        <f>VLOOKUP(B12,PreTrain!B12:D72,3,FALSE)</f>
        <v>196822</v>
      </c>
      <c r="E12">
        <v>1800</v>
      </c>
      <c r="F12">
        <v>30</v>
      </c>
      <c r="G12">
        <v>12.5</v>
      </c>
      <c r="H12">
        <v>25</v>
      </c>
      <c r="I12">
        <v>4.2622999999999998</v>
      </c>
      <c r="J12">
        <v>71</v>
      </c>
      <c r="K12">
        <v>6.2224000000000004</v>
      </c>
      <c r="L12">
        <v>-1.96</v>
      </c>
      <c r="P12" s="4">
        <v>1821</v>
      </c>
      <c r="Q12">
        <v>14</v>
      </c>
    </row>
  </sheetData>
  <sortState xmlns:xlrd2="http://schemas.microsoft.com/office/spreadsheetml/2017/richdata2" ref="P2:Q12">
    <sortCondition ref="P2:P12"/>
  </sortState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073B-22D5-954D-8BD2-42AD2F281A7F}">
  <dimension ref="A1:J18"/>
  <sheetViews>
    <sheetView workbookViewId="0">
      <selection activeCell="B13" sqref="B13"/>
    </sheetView>
  </sheetViews>
  <sheetFormatPr baseColWidth="10" defaultRowHeight="16" x14ac:dyDescent="0.2"/>
  <cols>
    <col min="1" max="1" width="3.1640625" bestFit="1" customWidth="1"/>
    <col min="2" max="2" width="56.1640625" bestFit="1" customWidth="1"/>
  </cols>
  <sheetData>
    <row r="1" spans="1:10" x14ac:dyDescent="0.2">
      <c r="A1" s="1" t="s">
        <v>0</v>
      </c>
      <c r="B1" s="1" t="s">
        <v>1</v>
      </c>
      <c r="C1" s="1" t="s">
        <v>77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>
        <v>15</v>
      </c>
      <c r="B2" t="s">
        <v>40</v>
      </c>
      <c r="C2">
        <v>230</v>
      </c>
      <c r="D2">
        <v>235706</v>
      </c>
      <c r="E2">
        <v>56</v>
      </c>
      <c r="F2">
        <v>7.8</v>
      </c>
      <c r="G2">
        <v>8.4</v>
      </c>
      <c r="H2">
        <v>3.1442999999999999</v>
      </c>
      <c r="I2">
        <v>23.2</v>
      </c>
      <c r="J2">
        <v>2.9939</v>
      </c>
    </row>
    <row r="3" spans="1:10" x14ac:dyDescent="0.2">
      <c r="A3">
        <v>2</v>
      </c>
      <c r="B3" t="s">
        <v>10</v>
      </c>
      <c r="C3">
        <v>176</v>
      </c>
      <c r="D3">
        <v>179877</v>
      </c>
      <c r="E3">
        <v>57</v>
      </c>
      <c r="F3">
        <v>6.4</v>
      </c>
      <c r="G3">
        <v>6.7</v>
      </c>
      <c r="H3">
        <v>3.4885999999999999</v>
      </c>
      <c r="I3">
        <v>32.700000000000003</v>
      </c>
      <c r="J3">
        <v>3.2818999999999998</v>
      </c>
    </row>
    <row r="4" spans="1:10" x14ac:dyDescent="0.2">
      <c r="A4">
        <v>7</v>
      </c>
      <c r="B4" t="s">
        <v>22</v>
      </c>
      <c r="C4">
        <v>320</v>
      </c>
      <c r="D4">
        <v>326972</v>
      </c>
      <c r="E4">
        <v>47</v>
      </c>
      <c r="F4">
        <v>8.6</v>
      </c>
      <c r="G4">
        <v>11</v>
      </c>
      <c r="H4">
        <v>4.5491000000000001</v>
      </c>
      <c r="I4">
        <v>94.5</v>
      </c>
      <c r="J4">
        <v>3.3159000000000001</v>
      </c>
    </row>
    <row r="5" spans="1:10" x14ac:dyDescent="0.2">
      <c r="A5">
        <v>1</v>
      </c>
      <c r="B5" t="s">
        <v>9</v>
      </c>
      <c r="C5">
        <v>875</v>
      </c>
      <c r="D5">
        <v>895837</v>
      </c>
      <c r="E5">
        <v>40</v>
      </c>
      <c r="F5">
        <v>16.899999999999999</v>
      </c>
      <c r="G5">
        <v>25.3</v>
      </c>
      <c r="H5">
        <v>4.9401999999999999</v>
      </c>
      <c r="I5">
        <v>139.80000000000001</v>
      </c>
      <c r="J5">
        <v>3.2305999999999999</v>
      </c>
    </row>
    <row r="6" spans="1:10" x14ac:dyDescent="0.2">
      <c r="A6">
        <v>17</v>
      </c>
      <c r="B6" t="s">
        <v>47</v>
      </c>
      <c r="C6">
        <v>123</v>
      </c>
      <c r="D6">
        <v>125756</v>
      </c>
      <c r="E6">
        <v>62</v>
      </c>
      <c r="F6">
        <v>3.4</v>
      </c>
      <c r="G6">
        <v>3.2</v>
      </c>
      <c r="H6">
        <v>5.2096</v>
      </c>
      <c r="I6">
        <v>183</v>
      </c>
      <c r="J6">
        <v>3.5607000000000002</v>
      </c>
    </row>
    <row r="7" spans="1:10" x14ac:dyDescent="0.2">
      <c r="A7">
        <v>11</v>
      </c>
      <c r="B7" t="s">
        <v>29</v>
      </c>
      <c r="C7">
        <v>1129</v>
      </c>
      <c r="D7">
        <v>1112062</v>
      </c>
      <c r="E7">
        <v>32</v>
      </c>
      <c r="F7">
        <v>16.8</v>
      </c>
      <c r="G7">
        <v>31.5</v>
      </c>
      <c r="H7">
        <v>5.2896000000000001</v>
      </c>
      <c r="I7">
        <v>198.3</v>
      </c>
      <c r="J7">
        <v>3.9117000000000002</v>
      </c>
    </row>
    <row r="8" spans="1:10" x14ac:dyDescent="0.2">
      <c r="A8">
        <v>5</v>
      </c>
      <c r="B8" t="s">
        <v>17</v>
      </c>
      <c r="C8">
        <v>256</v>
      </c>
      <c r="D8">
        <v>261740</v>
      </c>
      <c r="E8">
        <v>56</v>
      </c>
      <c r="F8">
        <v>7</v>
      </c>
      <c r="G8">
        <v>7.5</v>
      </c>
      <c r="H8">
        <v>5.3315999999999999</v>
      </c>
      <c r="I8">
        <v>206.8</v>
      </c>
      <c r="J8">
        <v>4</v>
      </c>
    </row>
    <row r="9" spans="1:10" x14ac:dyDescent="0.2">
      <c r="A9">
        <v>3</v>
      </c>
      <c r="B9" t="s">
        <v>11</v>
      </c>
      <c r="C9">
        <v>888</v>
      </c>
      <c r="D9">
        <v>908238</v>
      </c>
      <c r="E9">
        <v>36</v>
      </c>
      <c r="F9">
        <v>13</v>
      </c>
      <c r="G9">
        <v>21.6</v>
      </c>
      <c r="H9">
        <v>5.8648999999999996</v>
      </c>
      <c r="I9">
        <v>352.4</v>
      </c>
      <c r="J9">
        <v>4.5705</v>
      </c>
    </row>
    <row r="10" spans="1:10" x14ac:dyDescent="0.2">
      <c r="A10">
        <v>14</v>
      </c>
      <c r="B10" t="s">
        <v>39</v>
      </c>
      <c r="C10">
        <v>488</v>
      </c>
      <c r="D10">
        <v>500054</v>
      </c>
      <c r="E10">
        <v>46</v>
      </c>
      <c r="F10">
        <v>9.1999999999999993</v>
      </c>
      <c r="G10">
        <v>12</v>
      </c>
      <c r="H10">
        <v>6.1505000000000001</v>
      </c>
      <c r="I10">
        <v>469</v>
      </c>
      <c r="J10">
        <v>3.6328999999999998</v>
      </c>
    </row>
    <row r="11" spans="1:10" x14ac:dyDescent="0.2">
      <c r="A11">
        <v>10</v>
      </c>
      <c r="B11" t="s">
        <v>28</v>
      </c>
      <c r="C11">
        <v>1821</v>
      </c>
      <c r="D11">
        <v>1854300</v>
      </c>
      <c r="E11">
        <v>37</v>
      </c>
      <c r="F11">
        <v>22.9</v>
      </c>
      <c r="G11">
        <v>37.200000000000003</v>
      </c>
      <c r="H11">
        <v>6.1936999999999998</v>
      </c>
      <c r="I11">
        <v>489.7</v>
      </c>
      <c r="J11">
        <v>3.5203000000000002</v>
      </c>
    </row>
    <row r="12" spans="1:10" x14ac:dyDescent="0.2">
      <c r="A12">
        <v>16</v>
      </c>
      <c r="B12" t="s">
        <v>41</v>
      </c>
      <c r="C12">
        <v>192</v>
      </c>
      <c r="D12">
        <v>196822</v>
      </c>
      <c r="E12">
        <v>65</v>
      </c>
      <c r="F12">
        <v>5</v>
      </c>
      <c r="G12">
        <v>4.5999999999999996</v>
      </c>
      <c r="H12">
        <v>6.2614000000000001</v>
      </c>
      <c r="I12">
        <v>524</v>
      </c>
      <c r="J12">
        <v>4.0734000000000004</v>
      </c>
    </row>
    <row r="13" spans="1:10" x14ac:dyDescent="0.2">
      <c r="A13">
        <v>12</v>
      </c>
      <c r="B13" t="s">
        <v>30</v>
      </c>
      <c r="C13">
        <v>300</v>
      </c>
      <c r="D13">
        <v>306401</v>
      </c>
      <c r="E13">
        <v>50</v>
      </c>
      <c r="F13">
        <v>6.3</v>
      </c>
      <c r="G13">
        <v>7.6</v>
      </c>
      <c r="H13">
        <v>6.3728999999999996</v>
      </c>
      <c r="I13">
        <v>585.79999999999995</v>
      </c>
      <c r="J13">
        <v>3.637</v>
      </c>
    </row>
    <row r="14" spans="1:10" x14ac:dyDescent="0.2">
      <c r="A14">
        <v>9</v>
      </c>
      <c r="B14" t="s">
        <v>26</v>
      </c>
      <c r="C14">
        <v>816</v>
      </c>
      <c r="D14">
        <v>835629</v>
      </c>
      <c r="E14">
        <v>37</v>
      </c>
      <c r="F14">
        <v>12.5</v>
      </c>
      <c r="G14">
        <v>20.3</v>
      </c>
      <c r="H14">
        <v>6.6512000000000002</v>
      </c>
      <c r="I14">
        <v>773.7</v>
      </c>
      <c r="J14">
        <v>4.5027999999999997</v>
      </c>
    </row>
    <row r="15" spans="1:10" x14ac:dyDescent="0.2">
      <c r="A15">
        <v>8</v>
      </c>
      <c r="B15" t="s">
        <v>25</v>
      </c>
      <c r="C15">
        <v>236</v>
      </c>
      <c r="D15">
        <v>241092</v>
      </c>
      <c r="E15">
        <v>66</v>
      </c>
      <c r="F15">
        <v>5.9</v>
      </c>
      <c r="G15">
        <v>5.3</v>
      </c>
      <c r="H15">
        <v>6.9974999999999996</v>
      </c>
      <c r="I15">
        <v>1093.9000000000001</v>
      </c>
      <c r="J15">
        <v>4.7393999999999998</v>
      </c>
    </row>
    <row r="16" spans="1:10" x14ac:dyDescent="0.2">
      <c r="A16">
        <v>6</v>
      </c>
      <c r="B16" t="s">
        <v>18</v>
      </c>
      <c r="C16">
        <v>240</v>
      </c>
      <c r="D16">
        <v>245888</v>
      </c>
      <c r="E16">
        <v>64</v>
      </c>
      <c r="F16">
        <v>6.4</v>
      </c>
      <c r="G16">
        <v>6</v>
      </c>
      <c r="H16">
        <v>7.0538999999999996</v>
      </c>
      <c r="I16">
        <v>1157.4000000000001</v>
      </c>
      <c r="J16">
        <v>4.4927000000000001</v>
      </c>
    </row>
    <row r="17" spans="1:10" x14ac:dyDescent="0.2">
      <c r="A17">
        <v>13</v>
      </c>
      <c r="B17" t="s">
        <v>37</v>
      </c>
      <c r="C17">
        <v>539</v>
      </c>
      <c r="D17">
        <v>552041</v>
      </c>
      <c r="E17">
        <v>36</v>
      </c>
      <c r="F17">
        <v>8.5</v>
      </c>
      <c r="G17">
        <v>14.1</v>
      </c>
      <c r="H17">
        <v>7.1444999999999999</v>
      </c>
      <c r="I17">
        <v>1267.2</v>
      </c>
      <c r="J17">
        <v>4.1821000000000002</v>
      </c>
    </row>
    <row r="18" spans="1:10" x14ac:dyDescent="0.2">
      <c r="A18">
        <v>4</v>
      </c>
      <c r="B18" t="s">
        <v>14</v>
      </c>
      <c r="C18">
        <v>304</v>
      </c>
      <c r="D18">
        <v>310852</v>
      </c>
      <c r="E18">
        <v>23</v>
      </c>
      <c r="F18">
        <v>2.7</v>
      </c>
      <c r="G18">
        <v>7</v>
      </c>
      <c r="H18">
        <v>7.4965000000000002</v>
      </c>
      <c r="I18">
        <v>1801.8</v>
      </c>
      <c r="J18">
        <v>6.0880999999999998</v>
      </c>
    </row>
  </sheetData>
  <sortState xmlns:xlrd2="http://schemas.microsoft.com/office/spreadsheetml/2017/richdata2" ref="A2:J18">
    <sortCondition ref="I2:I18"/>
    <sortCondition ref="H2:H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F03C-FBB2-9641-B5FD-7C3591998950}">
  <dimension ref="A1:G43"/>
  <sheetViews>
    <sheetView tabSelected="1" zoomScale="110" zoomScaleNormal="110" workbookViewId="0">
      <selection activeCell="K40" sqref="K40"/>
    </sheetView>
  </sheetViews>
  <sheetFormatPr baseColWidth="10" defaultRowHeight="16" x14ac:dyDescent="0.2"/>
  <cols>
    <col min="1" max="1" width="6.6640625" customWidth="1"/>
    <col min="2" max="2" width="52.6640625" bestFit="1" customWidth="1"/>
    <col min="3" max="3" width="12" customWidth="1"/>
    <col min="4" max="4" width="13.5" customWidth="1"/>
    <col min="5" max="5" width="15" customWidth="1"/>
    <col min="6" max="6" width="11.83203125" customWidth="1"/>
    <col min="7" max="7" width="9.83203125" customWidth="1"/>
  </cols>
  <sheetData>
    <row r="1" spans="1:7" x14ac:dyDescent="0.2">
      <c r="A1" s="5" t="s">
        <v>78</v>
      </c>
      <c r="B1" s="5" t="s">
        <v>79</v>
      </c>
      <c r="C1" s="5" t="s">
        <v>80</v>
      </c>
      <c r="D1" s="5" t="s">
        <v>6</v>
      </c>
      <c r="E1" s="5" t="s">
        <v>7</v>
      </c>
      <c r="F1" s="5" t="s">
        <v>3</v>
      </c>
      <c r="G1" s="5" t="s">
        <v>81</v>
      </c>
    </row>
    <row r="2" spans="1:7" x14ac:dyDescent="0.2">
      <c r="A2" s="6">
        <v>1</v>
      </c>
      <c r="B2" s="6" t="s">
        <v>15</v>
      </c>
      <c r="C2" s="6">
        <v>18</v>
      </c>
      <c r="D2" s="6">
        <v>3.4000000000000002E-2</v>
      </c>
      <c r="E2" s="6">
        <v>1</v>
      </c>
      <c r="F2" s="6">
        <v>100</v>
      </c>
      <c r="G2" s="6">
        <v>0.8</v>
      </c>
    </row>
    <row r="3" spans="1:7" x14ac:dyDescent="0.2">
      <c r="A3" s="6">
        <v>2</v>
      </c>
      <c r="B3" s="6" t="s">
        <v>40</v>
      </c>
      <c r="C3" s="6">
        <v>230</v>
      </c>
      <c r="D3" s="6">
        <v>3.1442999999999999</v>
      </c>
      <c r="E3" s="6">
        <v>23.2</v>
      </c>
      <c r="F3" s="6">
        <v>71</v>
      </c>
      <c r="G3" s="6">
        <v>9.1</v>
      </c>
    </row>
    <row r="4" spans="1:7" x14ac:dyDescent="0.2">
      <c r="A4" s="6">
        <v>3</v>
      </c>
      <c r="B4" s="6" t="s">
        <v>10</v>
      </c>
      <c r="C4" s="6">
        <v>176</v>
      </c>
      <c r="D4" s="6">
        <v>3.488</v>
      </c>
      <c r="E4" s="6">
        <v>32.700000000000003</v>
      </c>
      <c r="F4" s="6">
        <v>70</v>
      </c>
      <c r="G4" s="6">
        <v>7.4</v>
      </c>
    </row>
    <row r="5" spans="1:7" x14ac:dyDescent="0.2">
      <c r="A5" s="6">
        <v>4</v>
      </c>
      <c r="B5" s="6" t="s">
        <v>24</v>
      </c>
      <c r="C5" s="6">
        <v>335</v>
      </c>
      <c r="D5" s="6">
        <v>4.5144000000000002</v>
      </c>
      <c r="E5" s="6">
        <v>91.3</v>
      </c>
      <c r="F5" s="6">
        <v>77</v>
      </c>
      <c r="G5" s="6">
        <v>13.6</v>
      </c>
    </row>
    <row r="6" spans="1:7" x14ac:dyDescent="0.2">
      <c r="A6" s="6">
        <v>5</v>
      </c>
      <c r="B6" s="6" t="s">
        <v>23</v>
      </c>
      <c r="C6" s="6">
        <v>71</v>
      </c>
      <c r="D6" s="6">
        <v>4.5231000000000003</v>
      </c>
      <c r="E6" s="6">
        <v>92.1</v>
      </c>
      <c r="F6" s="6">
        <v>72</v>
      </c>
      <c r="G6" s="6">
        <v>1.8</v>
      </c>
    </row>
    <row r="7" spans="1:7" x14ac:dyDescent="0.2">
      <c r="A7" s="6">
        <v>6</v>
      </c>
      <c r="B7" s="6" t="s">
        <v>22</v>
      </c>
      <c r="C7" s="6">
        <v>320</v>
      </c>
      <c r="D7" s="6">
        <v>4.5500999999999996</v>
      </c>
      <c r="E7" s="6">
        <v>94.6</v>
      </c>
      <c r="F7" s="6">
        <v>62</v>
      </c>
      <c r="G7" s="6">
        <v>10.3</v>
      </c>
    </row>
    <row r="8" spans="1:7" x14ac:dyDescent="0.2">
      <c r="A8" s="6">
        <v>7</v>
      </c>
      <c r="B8" s="6" t="s">
        <v>9</v>
      </c>
      <c r="C8" s="6">
        <v>875</v>
      </c>
      <c r="D8" s="6">
        <v>4.9401999999999999</v>
      </c>
      <c r="E8" s="6">
        <v>139.80000000000001</v>
      </c>
      <c r="F8" s="6">
        <v>55</v>
      </c>
      <c r="G8" s="6">
        <v>21.7</v>
      </c>
    </row>
    <row r="9" spans="1:7" x14ac:dyDescent="0.2">
      <c r="A9" s="6">
        <v>8</v>
      </c>
      <c r="B9" s="6" t="s">
        <v>47</v>
      </c>
      <c r="C9" s="6">
        <v>123</v>
      </c>
      <c r="D9" s="6">
        <v>5.2046000000000001</v>
      </c>
      <c r="E9" s="6">
        <v>182.1</v>
      </c>
      <c r="F9" s="6">
        <v>81</v>
      </c>
      <c r="G9" s="6">
        <v>3.9</v>
      </c>
    </row>
    <row r="10" spans="1:7" x14ac:dyDescent="0.2">
      <c r="A10" s="6">
        <v>9</v>
      </c>
      <c r="B10" s="6" t="s">
        <v>19</v>
      </c>
      <c r="C10" s="6">
        <v>342</v>
      </c>
      <c r="D10" s="6">
        <v>5.2679999999999998</v>
      </c>
      <c r="E10" s="6">
        <v>194</v>
      </c>
      <c r="F10" s="6">
        <v>64</v>
      </c>
      <c r="G10" s="6">
        <v>8.1999999999999993</v>
      </c>
    </row>
    <row r="11" spans="1:7" x14ac:dyDescent="0.2">
      <c r="A11" s="6">
        <v>10</v>
      </c>
      <c r="B11" s="6" t="s">
        <v>29</v>
      </c>
      <c r="C11" s="6">
        <v>1129</v>
      </c>
      <c r="D11" s="6">
        <v>5.2834000000000003</v>
      </c>
      <c r="E11" s="6">
        <v>197</v>
      </c>
      <c r="F11" s="6">
        <v>50</v>
      </c>
      <c r="G11" s="6">
        <v>24.5</v>
      </c>
    </row>
    <row r="12" spans="1:7" x14ac:dyDescent="0.2">
      <c r="A12" s="6">
        <v>11</v>
      </c>
      <c r="B12" s="6" t="s">
        <v>45</v>
      </c>
      <c r="C12" s="6">
        <v>134</v>
      </c>
      <c r="D12" s="6">
        <v>5.3068</v>
      </c>
      <c r="E12" s="6">
        <v>201.7</v>
      </c>
      <c r="F12" s="6">
        <v>69</v>
      </c>
      <c r="G12" s="6">
        <v>3.3</v>
      </c>
    </row>
    <row r="13" spans="1:7" x14ac:dyDescent="0.2">
      <c r="A13" s="6">
        <v>12</v>
      </c>
      <c r="B13" s="6" t="s">
        <v>17</v>
      </c>
      <c r="C13" s="6">
        <v>256</v>
      </c>
      <c r="D13" s="6">
        <v>5.3224</v>
      </c>
      <c r="E13" s="6">
        <v>204.9</v>
      </c>
      <c r="F13" s="6">
        <v>80</v>
      </c>
      <c r="G13" s="6">
        <v>9.6</v>
      </c>
    </row>
    <row r="14" spans="1:7" x14ac:dyDescent="0.2">
      <c r="A14" s="6">
        <v>13</v>
      </c>
      <c r="B14" s="6" t="s">
        <v>32</v>
      </c>
      <c r="C14" s="6">
        <v>302</v>
      </c>
      <c r="D14" s="6">
        <v>5.4169</v>
      </c>
      <c r="E14" s="6">
        <v>225.2</v>
      </c>
      <c r="F14" s="6">
        <v>67</v>
      </c>
      <c r="G14" s="6">
        <v>7.8</v>
      </c>
    </row>
    <row r="15" spans="1:7" x14ac:dyDescent="0.2">
      <c r="A15" s="6">
        <v>14</v>
      </c>
      <c r="B15" s="6" t="s">
        <v>36</v>
      </c>
      <c r="C15" s="6">
        <v>161</v>
      </c>
      <c r="D15" s="6">
        <v>5.4652000000000003</v>
      </c>
      <c r="E15" s="6">
        <v>236.3</v>
      </c>
      <c r="F15" s="6">
        <v>82</v>
      </c>
      <c r="G15" s="6">
        <v>4.9000000000000004</v>
      </c>
    </row>
    <row r="16" spans="1:7" x14ac:dyDescent="0.2">
      <c r="A16" s="6">
        <v>15</v>
      </c>
      <c r="B16" s="6" t="s">
        <v>11</v>
      </c>
      <c r="C16" s="6">
        <v>888</v>
      </c>
      <c r="D16" s="6">
        <v>5.8551000000000002</v>
      </c>
      <c r="E16" s="6">
        <v>349</v>
      </c>
      <c r="F16" s="6">
        <v>55</v>
      </c>
      <c r="G16" s="6">
        <v>18.5</v>
      </c>
    </row>
    <row r="17" spans="1:7" x14ac:dyDescent="0.2">
      <c r="A17" s="6">
        <v>16</v>
      </c>
      <c r="B17" s="6" t="s">
        <v>49</v>
      </c>
      <c r="C17" s="6">
        <v>73</v>
      </c>
      <c r="D17" s="6">
        <v>5.8795000000000002</v>
      </c>
      <c r="E17" s="6">
        <v>357.6</v>
      </c>
      <c r="F17" s="6">
        <v>65</v>
      </c>
      <c r="G17" s="6">
        <v>1.6</v>
      </c>
    </row>
    <row r="18" spans="1:7" x14ac:dyDescent="0.2">
      <c r="A18" s="6">
        <v>17</v>
      </c>
      <c r="B18" s="6" t="s">
        <v>13</v>
      </c>
      <c r="C18" s="6">
        <v>472</v>
      </c>
      <c r="D18" s="6">
        <v>6.0125000000000002</v>
      </c>
      <c r="E18" s="6">
        <v>408.5</v>
      </c>
      <c r="F18" s="6">
        <v>72</v>
      </c>
      <c r="G18" s="6">
        <v>10.9</v>
      </c>
    </row>
    <row r="19" spans="1:7" x14ac:dyDescent="0.2">
      <c r="A19" s="6">
        <v>18</v>
      </c>
      <c r="B19" s="6" t="s">
        <v>16</v>
      </c>
      <c r="C19" s="6">
        <v>770</v>
      </c>
      <c r="D19" s="6">
        <v>6.0641999999999996</v>
      </c>
      <c r="E19" s="6">
        <v>430.2</v>
      </c>
      <c r="F19" s="6">
        <v>54</v>
      </c>
      <c r="G19" s="6">
        <v>15</v>
      </c>
    </row>
    <row r="20" spans="1:7" x14ac:dyDescent="0.2">
      <c r="A20" s="6">
        <v>19</v>
      </c>
      <c r="B20" s="6" t="s">
        <v>48</v>
      </c>
      <c r="C20" s="6">
        <v>209</v>
      </c>
      <c r="D20" s="6">
        <v>6.0673000000000004</v>
      </c>
      <c r="E20" s="6">
        <v>431.5</v>
      </c>
      <c r="F20" s="6">
        <v>90</v>
      </c>
      <c r="G20" s="6">
        <v>7.4</v>
      </c>
    </row>
    <row r="21" spans="1:7" x14ac:dyDescent="0.2">
      <c r="A21" s="6">
        <v>20</v>
      </c>
      <c r="B21" s="6" t="s">
        <v>43</v>
      </c>
      <c r="C21" s="6">
        <v>124</v>
      </c>
      <c r="D21" s="6">
        <v>6.1220999999999997</v>
      </c>
      <c r="E21" s="6">
        <v>455.8</v>
      </c>
      <c r="F21" s="6">
        <v>88</v>
      </c>
      <c r="G21" s="6">
        <v>4.2</v>
      </c>
    </row>
    <row r="22" spans="1:7" x14ac:dyDescent="0.2">
      <c r="A22" s="6">
        <v>21</v>
      </c>
      <c r="B22" s="6" t="s">
        <v>39</v>
      </c>
      <c r="C22" s="6">
        <v>488</v>
      </c>
      <c r="D22" s="6">
        <v>6.1505000000000001</v>
      </c>
      <c r="E22" s="6">
        <v>469</v>
      </c>
      <c r="F22" s="6">
        <v>61</v>
      </c>
      <c r="G22" s="6">
        <v>11.3</v>
      </c>
    </row>
    <row r="23" spans="1:7" x14ac:dyDescent="0.2">
      <c r="A23" s="6">
        <v>22</v>
      </c>
      <c r="B23" s="6" t="s">
        <v>34</v>
      </c>
      <c r="C23" s="6">
        <v>209</v>
      </c>
      <c r="D23" s="6">
        <v>6.1542000000000003</v>
      </c>
      <c r="E23" s="6">
        <v>470.7</v>
      </c>
      <c r="F23" s="6">
        <v>78</v>
      </c>
      <c r="G23" s="6">
        <v>7.3</v>
      </c>
    </row>
    <row r="24" spans="1:7" x14ac:dyDescent="0.2">
      <c r="A24" s="6">
        <v>23</v>
      </c>
      <c r="B24" s="6" t="s">
        <v>28</v>
      </c>
      <c r="C24" s="6">
        <v>1821</v>
      </c>
      <c r="D24" s="6">
        <v>6.1936999999999998</v>
      </c>
      <c r="E24" s="6">
        <v>489.7</v>
      </c>
      <c r="F24" s="6">
        <v>52</v>
      </c>
      <c r="G24" s="6">
        <v>29.6</v>
      </c>
    </row>
    <row r="25" spans="1:7" x14ac:dyDescent="0.2">
      <c r="A25" s="6">
        <v>24</v>
      </c>
      <c r="B25" s="6" t="s">
        <v>41</v>
      </c>
      <c r="C25" s="6">
        <v>192</v>
      </c>
      <c r="D25" s="6">
        <v>6.2614000000000001</v>
      </c>
      <c r="E25" s="6">
        <v>523.9</v>
      </c>
      <c r="F25" s="6">
        <v>80</v>
      </c>
      <c r="G25" s="6">
        <v>5.6</v>
      </c>
    </row>
    <row r="26" spans="1:7" x14ac:dyDescent="0.2">
      <c r="A26" s="6">
        <v>25</v>
      </c>
      <c r="B26" s="6" t="s">
        <v>12</v>
      </c>
      <c r="C26" s="6">
        <v>192</v>
      </c>
      <c r="D26" s="6">
        <v>6.2713000000000001</v>
      </c>
      <c r="E26" s="6">
        <v>529.20000000000005</v>
      </c>
      <c r="F26" s="6">
        <v>67</v>
      </c>
      <c r="G26" s="6">
        <v>4</v>
      </c>
    </row>
    <row r="27" spans="1:7" x14ac:dyDescent="0.2">
      <c r="A27" s="6">
        <v>26</v>
      </c>
      <c r="B27" s="6" t="s">
        <v>20</v>
      </c>
      <c r="C27" s="6">
        <v>171</v>
      </c>
      <c r="D27" s="6">
        <v>6.2971000000000004</v>
      </c>
      <c r="E27" s="6">
        <v>543</v>
      </c>
      <c r="F27" s="6">
        <v>81</v>
      </c>
      <c r="G27" s="6">
        <v>4.8</v>
      </c>
    </row>
    <row r="28" spans="1:7" x14ac:dyDescent="0.2">
      <c r="A28" s="6">
        <v>27</v>
      </c>
      <c r="B28" s="6" t="s">
        <v>68</v>
      </c>
      <c r="C28" s="6">
        <v>101</v>
      </c>
      <c r="D28" s="6">
        <v>6.3178000000000001</v>
      </c>
      <c r="E28" s="6">
        <v>554.4</v>
      </c>
      <c r="F28" s="6">
        <v>73</v>
      </c>
      <c r="G28" s="6">
        <v>1.8</v>
      </c>
    </row>
    <row r="29" spans="1:7" x14ac:dyDescent="0.2">
      <c r="A29" s="6">
        <v>28</v>
      </c>
      <c r="B29" s="6" t="s">
        <v>33</v>
      </c>
      <c r="C29" s="6">
        <v>54</v>
      </c>
      <c r="D29" s="6">
        <v>6.3273000000000001</v>
      </c>
      <c r="E29" s="6">
        <v>559.6</v>
      </c>
      <c r="F29" s="6">
        <v>56</v>
      </c>
      <c r="G29" s="6">
        <v>0.8</v>
      </c>
    </row>
    <row r="30" spans="1:7" x14ac:dyDescent="0.2">
      <c r="A30" s="6">
        <v>29</v>
      </c>
      <c r="B30" s="6" t="s">
        <v>30</v>
      </c>
      <c r="C30" s="6">
        <v>300</v>
      </c>
      <c r="D30" s="6">
        <v>6.3566000000000003</v>
      </c>
      <c r="E30" s="6">
        <v>576.29999999999995</v>
      </c>
      <c r="F30" s="6">
        <v>81</v>
      </c>
      <c r="G30" s="6">
        <v>9.4</v>
      </c>
    </row>
    <row r="31" spans="1:7" x14ac:dyDescent="0.2">
      <c r="A31" s="6">
        <v>30</v>
      </c>
      <c r="B31" s="6" t="s">
        <v>44</v>
      </c>
      <c r="C31" s="6">
        <v>954</v>
      </c>
      <c r="D31" s="6">
        <v>6.3631000000000002</v>
      </c>
      <c r="E31" s="6">
        <v>580</v>
      </c>
      <c r="F31" s="6">
        <v>64</v>
      </c>
      <c r="G31" s="6">
        <v>19.3</v>
      </c>
    </row>
    <row r="32" spans="1:7" x14ac:dyDescent="0.2">
      <c r="A32" s="6">
        <v>31</v>
      </c>
      <c r="B32" s="6" t="s">
        <v>46</v>
      </c>
      <c r="C32" s="6">
        <v>218</v>
      </c>
      <c r="D32" s="6">
        <v>6.3746999999999998</v>
      </c>
      <c r="E32" s="6">
        <v>586.79999999999995</v>
      </c>
      <c r="F32" s="6">
        <v>78</v>
      </c>
      <c r="G32" s="6">
        <v>6.4</v>
      </c>
    </row>
    <row r="33" spans="1:7" x14ac:dyDescent="0.2">
      <c r="A33" s="6">
        <v>32</v>
      </c>
      <c r="B33" s="6" t="s">
        <v>35</v>
      </c>
      <c r="C33" s="6">
        <v>348</v>
      </c>
      <c r="D33" s="6">
        <v>6.6113</v>
      </c>
      <c r="E33" s="6">
        <v>743.4</v>
      </c>
      <c r="F33" s="6">
        <v>62</v>
      </c>
      <c r="G33" s="6">
        <v>9.4</v>
      </c>
    </row>
    <row r="34" spans="1:7" x14ac:dyDescent="0.2">
      <c r="A34" s="6">
        <v>33</v>
      </c>
      <c r="B34" s="6" t="s">
        <v>31</v>
      </c>
      <c r="C34" s="6">
        <v>359</v>
      </c>
      <c r="D34" s="6">
        <v>6.6264000000000003</v>
      </c>
      <c r="E34" s="6">
        <v>754.8</v>
      </c>
      <c r="F34" s="6">
        <v>68</v>
      </c>
      <c r="G34" s="6">
        <v>7.9</v>
      </c>
    </row>
    <row r="35" spans="1:7" x14ac:dyDescent="0.2">
      <c r="A35" s="6">
        <v>34</v>
      </c>
      <c r="B35" s="6" t="s">
        <v>26</v>
      </c>
      <c r="C35" s="6">
        <v>816</v>
      </c>
      <c r="D35" s="6">
        <v>6.6448999999999998</v>
      </c>
      <c r="E35" s="6">
        <v>768.9</v>
      </c>
      <c r="F35" s="6">
        <v>54</v>
      </c>
      <c r="G35" s="6">
        <v>16.600000000000001</v>
      </c>
    </row>
    <row r="36" spans="1:7" x14ac:dyDescent="0.2">
      <c r="A36" s="6">
        <v>35</v>
      </c>
      <c r="B36" s="6" t="s">
        <v>27</v>
      </c>
      <c r="C36" s="6">
        <v>400</v>
      </c>
      <c r="D36" s="6">
        <v>6.7309000000000001</v>
      </c>
      <c r="E36" s="6">
        <v>837.9</v>
      </c>
      <c r="F36" s="6">
        <v>59</v>
      </c>
      <c r="G36" s="6">
        <v>8.9</v>
      </c>
    </row>
    <row r="37" spans="1:7" x14ac:dyDescent="0.2">
      <c r="A37" s="6">
        <v>36</v>
      </c>
      <c r="B37" s="6" t="s">
        <v>42</v>
      </c>
      <c r="C37" s="6">
        <v>88</v>
      </c>
      <c r="D37" s="6">
        <v>6.7523999999999997</v>
      </c>
      <c r="E37" s="6">
        <v>856.1</v>
      </c>
      <c r="F37" s="6">
        <v>53</v>
      </c>
      <c r="G37" s="6">
        <v>1.9</v>
      </c>
    </row>
    <row r="38" spans="1:7" x14ac:dyDescent="0.2">
      <c r="A38" s="6">
        <v>37</v>
      </c>
      <c r="B38" s="6" t="s">
        <v>38</v>
      </c>
      <c r="C38" s="6">
        <v>180</v>
      </c>
      <c r="D38" s="6">
        <v>6.9276</v>
      </c>
      <c r="E38" s="6">
        <v>1020.1</v>
      </c>
      <c r="F38" s="6">
        <v>73</v>
      </c>
      <c r="G38" s="6">
        <v>4.3</v>
      </c>
    </row>
    <row r="39" spans="1:7" x14ac:dyDescent="0.2">
      <c r="A39" s="6">
        <v>38</v>
      </c>
      <c r="B39" s="6" t="s">
        <v>25</v>
      </c>
      <c r="C39" s="6">
        <v>236</v>
      </c>
      <c r="D39" s="6">
        <v>6.9893000000000001</v>
      </c>
      <c r="E39" s="6">
        <v>1084.9000000000001</v>
      </c>
      <c r="F39" s="6">
        <v>82</v>
      </c>
      <c r="G39" s="6">
        <v>7.2</v>
      </c>
    </row>
    <row r="40" spans="1:7" x14ac:dyDescent="0.2">
      <c r="A40" s="6">
        <v>39</v>
      </c>
      <c r="B40" s="6" t="s">
        <v>21</v>
      </c>
      <c r="C40" s="6">
        <v>166</v>
      </c>
      <c r="D40" s="6">
        <v>7.0072000000000001</v>
      </c>
      <c r="E40" s="6">
        <v>1104.5</v>
      </c>
      <c r="F40" s="6">
        <v>64</v>
      </c>
      <c r="G40" s="6">
        <v>3.8</v>
      </c>
    </row>
    <row r="41" spans="1:7" x14ac:dyDescent="0.2">
      <c r="A41" s="6">
        <v>40</v>
      </c>
      <c r="B41" s="6" t="s">
        <v>82</v>
      </c>
      <c r="C41" s="6">
        <v>240</v>
      </c>
      <c r="D41" s="6">
        <v>7.0538999999999996</v>
      </c>
      <c r="E41" s="6">
        <v>1157.4000000000001</v>
      </c>
      <c r="F41" s="6">
        <v>79</v>
      </c>
      <c r="G41" s="6">
        <v>7.9</v>
      </c>
    </row>
    <row r="42" spans="1:7" x14ac:dyDescent="0.2">
      <c r="A42" s="6">
        <v>41</v>
      </c>
      <c r="B42" s="6" t="s">
        <v>37</v>
      </c>
      <c r="C42" s="6">
        <v>539</v>
      </c>
      <c r="D42" s="6">
        <v>7.1444999999999999</v>
      </c>
      <c r="E42" s="6">
        <v>1267.2</v>
      </c>
      <c r="F42" s="6">
        <v>51</v>
      </c>
      <c r="G42" s="6">
        <v>11.2</v>
      </c>
    </row>
    <row r="43" spans="1:7" x14ac:dyDescent="0.2">
      <c r="A43" s="6">
        <v>42</v>
      </c>
      <c r="B43" s="6" t="s">
        <v>14</v>
      </c>
      <c r="C43" s="6">
        <v>304</v>
      </c>
      <c r="D43" s="6">
        <v>7.4516999999999998</v>
      </c>
      <c r="E43" s="6">
        <v>1722.7</v>
      </c>
      <c r="F43" s="6">
        <v>98</v>
      </c>
      <c r="G43" s="6">
        <v>10.199999999999999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PreTrain</vt:lpstr>
      <vt:lpstr>FineTune</vt:lpstr>
      <vt:lpstr>V2 Pretrain</vt:lpstr>
      <vt:lpstr>V2 Pretrain-Bigger Model</vt:lpstr>
      <vt:lpstr>FineTune!Print_Titles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Vatsal Raicha</dc:creator>
  <cp:lastModifiedBy>Vatsal Raicha</cp:lastModifiedBy>
  <dcterms:created xsi:type="dcterms:W3CDTF">2026-02-22T22:17:48Z</dcterms:created>
  <dcterms:modified xsi:type="dcterms:W3CDTF">2026-02-26T05:20:43Z</dcterms:modified>
</cp:coreProperties>
</file>